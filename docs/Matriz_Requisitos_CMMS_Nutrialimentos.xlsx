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sumen" sheetId="2" state="visible" r:id="rId4"/>
    <sheet name="Matriz" sheetId="3" state="visible" r:id="rId5"/>
    <sheet name="Decisiones pendientes" sheetId="4" state="visible" r:id="rId6"/>
  </sheets>
  <definedNames>
    <definedName function="false" hidden="true" localSheetId="3" name="_xlnm._FilterDatabase" vbProcedure="false">'Decisiones pendientes'!$A$1:$G$16</definedName>
    <definedName function="false" hidden="true" localSheetId="2" name="_xlnm._FilterDatabase" vbProcedure="false">Matriz!$A$1:$L$80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<sst xmlns="http://schemas.openxmlformats.org/spreadsheetml/2006/main" count="858" uniqueCount="467">
  <si>
    <t xml:space="preserve">Matriz de requisitos y verificación – CMMS Nutrialimentos Cárnicos S.A.S.</t>
  </si>
  <si>
    <t xml:space="preserve">Propósito</t>
  </si>
  <si>
    <t xml:space="preserve">Comprobar, requisito por requisito, que el sistema cumple lo definido en el documento del proyecto y en el análisis de vacíos.</t>
  </si>
  <si>
    <t xml:space="preserve">Origen</t>
  </si>
  <si>
    <t xml:space="preserve">"Doc §" = sección del documento del proyecto. "Análisis" = requisito agregado tras el análisis del documento (vacíos detectados); conviene confirmarlo con los líderes del proceso.</t>
  </si>
  <si>
    <t xml:space="preserve">Prioridad</t>
  </si>
  <si>
    <t xml:space="preserve">MVP = debe estar en la entrega de 4 semanas (propuesta). Posterior = siguiente fase. Ajustar tras decidir D-14.</t>
  </si>
  <si>
    <t xml:space="preserve">Qué llenar</t>
  </si>
  <si>
    <t xml:space="preserve">Solo las celdas amarillas de la hoja Matriz: Estado, Responsable, Fecha de verificación y Evidencia. También la columna Decisión de Decisiones pendientes.</t>
  </si>
  <si>
    <t xml:space="preserve">Estados</t>
  </si>
  <si>
    <t xml:space="preserve">Pendiente · En desarrollo · Cumple · Cumple parcial · No cumple · N/A. Un requisito solo pasa a Cumple cuando TODOS sus criterios se verificaron.</t>
  </si>
  <si>
    <t xml:space="preserve">Resumen</t>
  </si>
  <si>
    <t xml:space="preserve">La hoja Resumen se calcula sola a partir de la columna Estado. % cumplimiento = Cumple / (Total − N/A).</t>
  </si>
  <si>
    <t xml:space="preserve">Decisiones</t>
  </si>
  <si>
    <t xml:space="preserve">Los requisitos que mencionan D-xx dependen de una decisión pendiente. Resolverla antes de desarrollar ese requisito.</t>
  </si>
  <si>
    <t xml:space="preserve">Ejemplo de fila verificada</t>
  </si>
  <si>
    <t xml:space="preserve">ID</t>
  </si>
  <si>
    <t xml:space="preserve">Estado</t>
  </si>
  <si>
    <t xml:space="preserve">Responsable</t>
  </si>
  <si>
    <t xml:space="preserve">Fecha verificación</t>
  </si>
  <si>
    <t xml:space="preserve">Evidencia / observaciones</t>
  </si>
  <si>
    <t xml:space="preserve">MNT-09</t>
  </si>
  <si>
    <t xml:space="preserve">Cumple</t>
  </si>
  <si>
    <t xml:space="preserve">Ana (QA)</t>
  </si>
  <si>
    <t xml:space="preserve">2026-11-18</t>
  </si>
  <si>
    <t xml:space="preserve">Caso: stock 10, OT consume 3 → stock 7. Movimiento #245 vinculado a OT-0031. Captura en carpeta /evidencias/MNT-09.</t>
  </si>
  <si>
    <t xml:space="preserve">Resumen de cumplimiento</t>
  </si>
  <si>
    <t xml:space="preserve">Se calcula automáticamente desde la hoja Matriz (columna Estado).</t>
  </si>
  <si>
    <t xml:space="preserve">Módulo</t>
  </si>
  <si>
    <t xml:space="preserve">Total</t>
  </si>
  <si>
    <t xml:space="preserve">Cumple parcial</t>
  </si>
  <si>
    <t xml:space="preserve">No cumple</t>
  </si>
  <si>
    <t xml:space="preserve">En desarrollo</t>
  </si>
  <si>
    <t xml:space="preserve">Pendiente</t>
  </si>
  <si>
    <t xml:space="preserve">N/A</t>
  </si>
  <si>
    <t xml:space="preserve">% cumplimiento</t>
  </si>
  <si>
    <t xml:space="preserve">General / plataforma</t>
  </si>
  <si>
    <t xml:space="preserve">Activos y hoja de vida</t>
  </si>
  <si>
    <t xml:space="preserve">Calidad HACCP/BPM y temperaturas</t>
  </si>
  <si>
    <t xml:space="preserve">Mantenimiento (OT)</t>
  </si>
  <si>
    <t xml:space="preserve">Funcionamiento offline</t>
  </si>
  <si>
    <t xml:space="preserve">Inventario de repuestos</t>
  </si>
  <si>
    <t xml:space="preserve">Solicitudes de compra</t>
  </si>
  <si>
    <t xml:space="preserve">Indicadores y reportes</t>
  </si>
  <si>
    <t xml:space="preserve">Roles, acceso y seguridad</t>
  </si>
  <si>
    <t xml:space="preserve">Notificaciones</t>
  </si>
  <si>
    <t xml:space="preserve">No funcionales</t>
  </si>
  <si>
    <t xml:space="preserve">Datos e integración SAP</t>
  </si>
  <si>
    <t xml:space="preserve">Implementación y entrega</t>
  </si>
  <si>
    <t xml:space="preserve">TOTAL</t>
  </si>
  <si>
    <t xml:space="preserve">Solo requisitos MVP</t>
  </si>
  <si>
    <t xml:space="preserve">Decisiones pendientes sin resolver:</t>
  </si>
  <si>
    <t xml:space="preserve">Requisito</t>
  </si>
  <si>
    <t xml:space="preserve">Rol(es)</t>
  </si>
  <si>
    <t xml:space="preserve">Criterios de aceptación</t>
  </si>
  <si>
    <t xml:space="preserve">Método de verificación</t>
  </si>
  <si>
    <t xml:space="preserve">GEN-01</t>
  </si>
  <si>
    <t xml:space="preserve">La aplicación funciona en celular, tablet y computador.</t>
  </si>
  <si>
    <t xml:space="preserve">Doc §1, §3</t>
  </si>
  <si>
    <t xml:space="preserve">MVP</t>
  </si>
  <si>
    <t xml:space="preserve">Todos</t>
  </si>
  <si>
    <t xml:space="preserve">1. Usable en Android (Chrome), iOS (Safari) y Windows (Chrome/Edge).
2. Sin desplazamiento horizontal a 360 px de ancho.
3. Botones táctiles de al menos 44 px (uso con guantes).</t>
  </si>
  <si>
    <t xml:space="preserve">Prueba manual en los 3 tipos de dispositivo</t>
  </si>
  <si>
    <t xml:space="preserve">GEN-02</t>
  </si>
  <si>
    <t xml:space="preserve">La interfaz está en español y es comprensible para personal de planta.</t>
  </si>
  <si>
    <t xml:space="preserve">Doc §1</t>
  </si>
  <si>
    <t xml:space="preserve">1. Todos los textos y mensajes de error en español.
2. Un operario nuevo completa un reporte de falla sin ayuda tras una demostración de 5 min.</t>
  </si>
  <si>
    <t xml:space="preserve">Prueba de usabilidad con 3 operarios</t>
  </si>
  <si>
    <t xml:space="preserve">ACT-01</t>
  </si>
  <si>
    <t xml:space="preserve">Crear y editar la ficha técnica de cada máquina.</t>
  </si>
  <si>
    <t xml:space="preserve">Doc §2A</t>
  </si>
  <si>
    <t xml:space="preserve">Administrador</t>
  </si>
  <si>
    <t xml:space="preserve">1. Campos: código único, nombre, modelo, fabricante, área/ubicación, fecha de compra, fin de garantía, estado.
2. No permite códigos duplicados.
3. Valida campos obligatorios.
4. Solo el Administrador puede crear o editar.</t>
  </si>
  <si>
    <t xml:space="preserve">Prueba funcional + prueba de permisos con otros roles</t>
  </si>
  <si>
    <t xml:space="preserve">ACT-02</t>
  </si>
  <si>
    <t xml:space="preserve">Adjuntar manuales y documentos a la ficha de la máquina.</t>
  </si>
  <si>
    <t xml:space="preserve">Administrador; consulta: todos</t>
  </si>
  <si>
    <t xml:space="preserve">1. Acepta PDF, JPG y PNG hasta el tamaño máximo definido.
2. Se pueden abrir desde el celular.
3. Registra quién y cuándo subió cada archivo.</t>
  </si>
  <si>
    <t xml:space="preserve">Prueba funcional en celular y PC</t>
  </si>
  <si>
    <t xml:space="preserve">ACT-03</t>
  </si>
  <si>
    <t xml:space="preserve">Hoja de vida: historial cronológico de cada máquina.</t>
  </si>
  <si>
    <t xml:space="preserve">Doc §1, §2A</t>
  </si>
  <si>
    <t xml:space="preserve">Todos (consulta)</t>
  </si>
  <si>
    <t xml:space="preserve">1. Muestra fallas, mantenimientos, repuestos consumidos y costos.
2. Al cerrar una OT aparece de inmediato en el historial.
3. Filtrable por rango de fechas y tipo (preventivo/correctivo).</t>
  </si>
  <si>
    <t xml:space="preserve">Prueba funcional con OT de prueba</t>
  </si>
  <si>
    <t xml:space="preserve">ACT-04</t>
  </si>
  <si>
    <t xml:space="preserve">Costo acumulado por máquina (LCC) calculado automáticamente.</t>
  </si>
  <si>
    <t xml:space="preserve">Doc §2A; Análisis §1</t>
  </si>
  <si>
    <t xml:space="preserve">Administrador, Dirección</t>
  </si>
  <si>
    <t xml:space="preserve">1. Suma repuestos + mano de obra + servicios externos (según D-03).
2. Con un caso de prueba de al menos 3 OT cerradas, el valor coincide con el cálculo manual.
3. Se actualiza al cerrar cada OT.
4. Muestra desglose por tipo de costo.</t>
  </si>
  <si>
    <t xml:space="preserve">Caso de prueba con cálculo manual en Excel</t>
  </si>
  <si>
    <t xml:space="preserve">ACT-05</t>
  </si>
  <si>
    <t xml:space="preserve">Alerta de garantía próxima a vencer.</t>
  </si>
  <si>
    <t xml:space="preserve">Análisis</t>
  </si>
  <si>
    <t xml:space="preserve">Posterior</t>
  </si>
  <si>
    <t xml:space="preserve">1. Aviso X días antes del fin de garantía (X configurable).</t>
  </si>
  <si>
    <t xml:space="preserve">Prueba con fecha simulada</t>
  </si>
  <si>
    <t xml:space="preserve">ACT-06</t>
  </si>
  <si>
    <t xml:space="preserve">Código QR por máquina que abre su ficha o el reporte de falla.</t>
  </si>
  <si>
    <t xml:space="preserve">1. Se genera e imprime el QR de cada máquina.
2. Al escanearlo con el celular abre la máquina correcta.</t>
  </si>
  <si>
    <t xml:space="preserve">Prueba en planta con 3 máquinas</t>
  </si>
  <si>
    <t xml:space="preserve">CAL-01</t>
  </si>
  <si>
    <t xml:space="preserve">Registro de temperaturas (congelación/cocción) por equipo.</t>
  </si>
  <si>
    <t xml:space="preserve">Operario</t>
  </si>
  <si>
    <t xml:space="preserve">1. Guarda equipo, valor en °C, fecha/hora del dispositivo y del servidor, y usuario.
2. Valor numérico validado (no acepta texto).</t>
  </si>
  <si>
    <t xml:space="preserve">Prueba funcional</t>
  </si>
  <si>
    <t xml:space="preserve">CAL-02</t>
  </si>
  <si>
    <t xml:space="preserve">Límites críticos configurables por equipo con alerta fuera de rango.</t>
  </si>
  <si>
    <t xml:space="preserve">Análisis §3</t>
  </si>
  <si>
    <t xml:space="preserve">Administrador (config.); Operario</t>
  </si>
  <si>
    <t xml:space="preserve">1. Cada equipo tiene mínimo y máximo configurables.
2. Un valor fuera de rango se marca en rojo y notifica al responsable de calidad/mantenimiento.</t>
  </si>
  <si>
    <t xml:space="preserve">Prueba con valores dentro y fuera de rango</t>
  </si>
  <si>
    <t xml:space="preserve">CAL-03</t>
  </si>
  <si>
    <t xml:space="preserve">Acción correctiva obligatoria ante una desviación.</t>
  </si>
  <si>
    <t xml:space="preserve">1. No permite guardar un registro fuera de rango sin describir la acción correctiva.
2. Queda el responsable y la hora de la acción.</t>
  </si>
  <si>
    <t xml:space="preserve">CAL-04</t>
  </si>
  <si>
    <t xml:space="preserve">Checklists pre-operacionales y de aseo (HACCP/BPM) configurables.</t>
  </si>
  <si>
    <t xml:space="preserve">Administrador (plantillas); Operario</t>
  </si>
  <si>
    <t xml:space="preserve">1. El Administrador crea plantillas por equipo/área con ítems Sí/No, numérico, texto y foto.
2. El operario diligencia y envía.
3. Queda registrado usuario, fecha y hora.
4. Ítems no conformes quedan resaltados.</t>
  </si>
  <si>
    <t xml:space="preserve">Prueba funcional con una plantilla real de calidad</t>
  </si>
  <si>
    <t xml:space="preserve">CAL-05</t>
  </si>
  <si>
    <t xml:space="preserve">Los registros de calidad enviados no se pueden modificar ni borrar.</t>
  </si>
  <si>
    <t xml:space="preserve">1. Editar o borrar un registro enviado es rechazado en la interfaz Y en la API.
2. La corrección se hace con un registro de anulación con motivo, que queda en bitácora.</t>
  </si>
  <si>
    <t xml:space="preserve">Prueba funcional + prueba directa contra la API</t>
  </si>
  <si>
    <t xml:space="preserve">CAL-06</t>
  </si>
  <si>
    <t xml:space="preserve">Consulta y exportación de registros de calidad para auditoría.</t>
  </si>
  <si>
    <t xml:space="preserve">1. Filtros por fecha, equipo y área.
2. Exporta a PDF y Excel con usuario y hora de cada registro.
3. Cumple el tiempo de retención definido (D-07).</t>
  </si>
  <si>
    <t xml:space="preserve">Prueba funcional + revisión con Calidad</t>
  </si>
  <si>
    <t xml:space="preserve">CAL-07</t>
  </si>
  <si>
    <t xml:space="preserve">Recordatorio de registros periódicos y reporte de registros faltantes.</t>
  </si>
  <si>
    <t xml:space="preserve">Operario, Administrador</t>
  </si>
  <si>
    <t xml:space="preserve">1. Frecuencia configurable por equipo (ej. cada 4 h).
2. Reporte de turnos/equipos sin registro.</t>
  </si>
  <si>
    <t xml:space="preserve">Prueba con frecuencia corta</t>
  </si>
  <si>
    <t xml:space="preserve">MNT-01</t>
  </si>
  <si>
    <t xml:space="preserve">Reporte rápido de fallas desde el celular.</t>
  </si>
  <si>
    <t xml:space="preserve">Doc §1, §4</t>
  </si>
  <si>
    <t xml:space="preserve">1. Campos: máquina, descripción, foto opcional, ¿máquina parada? (Sí/No).
2. Un operario lo completa en 1 minuto o menos.
3. Crea una OT correctiva en estado Abierta y notifica a mantenimiento.</t>
  </si>
  <si>
    <t xml:space="preserve">Prueba cronometrada con 3 operarios</t>
  </si>
  <si>
    <t xml:space="preserve">MNT-02</t>
  </si>
  <si>
    <t xml:space="preserve">Registro de inicio y fin de parada de máquina.</t>
  </si>
  <si>
    <t xml:space="preserve">Análisis §2</t>
  </si>
  <si>
    <t xml:space="preserve">Operario, Técnico</t>
  </si>
  <si>
    <t xml:space="preserve">1. Si la máquina quedó parada, se guarda la hora de inicio de la parada.
2. Al cerrar la OT es obligatorio registrar la hora de puesta en marcha.</t>
  </si>
  <si>
    <t xml:space="preserve">MNT-03</t>
  </si>
  <si>
    <t xml:space="preserve">Ciclo de vida de la orden de trabajo (OT).</t>
  </si>
  <si>
    <t xml:space="preserve">Análisis §4</t>
  </si>
  <si>
    <t xml:space="preserve">Técnico, Administrador</t>
  </si>
  <si>
    <t xml:space="preserve">1. Estados: Abierta → Asignada → En ejecución → (Esperando repuesto) → Cerrada / Cancelada.
2. Solo se permiten transiciones válidas.
3. Cada cambio registra usuario y hora.
4. Solo el técnico asignado o un Administrador cambia el estado.</t>
  </si>
  <si>
    <t xml:space="preserve">Prueba de cada transición y de permisos</t>
  </si>
  <si>
    <t xml:space="preserve">MNT-04</t>
  </si>
  <si>
    <t xml:space="preserve">Asignación de OT a técnicos.</t>
  </si>
  <si>
    <t xml:space="preserve">Doc §4</t>
  </si>
  <si>
    <t xml:space="preserve">1. El Administrador asigna o reasigna una OT a un técnico.
2. El técnico ve sus OT asignadas y recibe aviso.</t>
  </si>
  <si>
    <t xml:space="preserve">MNT-05</t>
  </si>
  <si>
    <t xml:space="preserve">Planes de mantenimiento preventivo por tiempo.</t>
  </si>
  <si>
    <t xml:space="preserve">Doc §2B</t>
  </si>
  <si>
    <t xml:space="preserve">1. Plan por máquina con frecuencia en días/semanas/meses.
2. Genera la OT con la fecha calculada.
3. Al cerrar una OT preventiva se programa la siguiente.</t>
  </si>
  <si>
    <t xml:space="preserve">Prueba con fechas simuladas</t>
  </si>
  <si>
    <t xml:space="preserve">MNT-06</t>
  </si>
  <si>
    <t xml:space="preserve">Aviso de preventivo próximo y vencido.</t>
  </si>
  <si>
    <t xml:space="preserve">Administrador, Técnico</t>
  </si>
  <si>
    <t xml:space="preserve">1. Aviso X días antes (configurable).
2. La OT se marca Vencida al pasar la fecha sin cerrarse.</t>
  </si>
  <si>
    <t xml:space="preserve">MNT-07</t>
  </si>
  <si>
    <t xml:space="preserve">Preventivo por uso (horómetro o ciclos).</t>
  </si>
  <si>
    <t xml:space="preserve">Análisis §1</t>
  </si>
  <si>
    <t xml:space="preserve">1. Registro de lecturas de horómetro.
2. Genera la OT al alcanzar el umbral.</t>
  </si>
  <si>
    <t xml:space="preserve">Prueba con lecturas simuladas</t>
  </si>
  <si>
    <t xml:space="preserve">MNT-08</t>
  </si>
  <si>
    <t xml:space="preserve">Lista predefinida de repuestos (kit) por mantenimiento.</t>
  </si>
  <si>
    <t xml:space="preserve">1. Cada plan preventivo tiene repuestos y cantidades.
2. La lista se copia a la OT al generarse.
3. El técnico puede ajustar las cantidades realmente usadas y agregar repuestos.</t>
  </si>
  <si>
    <t xml:space="preserve">Descuento automático de repuestos al cerrar la OT.</t>
  </si>
  <si>
    <t xml:space="preserve">Técnico</t>
  </si>
  <si>
    <t xml:space="preserve">1. Al cerrar, el stock baja exactamente en las cantidades consumidas.
2. Se crea un movimiento de salida vinculado a la OT.
3. Los repuestos no usados no se descuentan.</t>
  </si>
  <si>
    <t xml:space="preserve">Caso de prueba: comparar stock antes y después</t>
  </si>
  <si>
    <t xml:space="preserve">MNT-10</t>
  </si>
  <si>
    <t xml:space="preserve">Registro de mano de obra y servicios externos en la OT.</t>
  </si>
  <si>
    <t xml:space="preserve">1. Horas por técnico y costo de servicios externos.
2. Alimentan el LCC (ACT-04).</t>
  </si>
  <si>
    <t xml:space="preserve">MNT-11</t>
  </si>
  <si>
    <t xml:space="preserve">Evidencia fotográfica y observaciones en la OT.</t>
  </si>
  <si>
    <t xml:space="preserve">Doc §3</t>
  </si>
  <si>
    <t xml:space="preserve">1. Fotos antes/después adjuntas a la OT.
2. Visibles en la hoja de vida de la máquina.</t>
  </si>
  <si>
    <t xml:space="preserve">Prueba funcional en celular</t>
  </si>
  <si>
    <t xml:space="preserve">OFF-01</t>
  </si>
  <si>
    <t xml:space="preserve">Registro sin conexión de fallas, temperaturas, checklists y cierre de OT.</t>
  </si>
  <si>
    <t xml:space="preserve">Doc §1, §2B</t>
  </si>
  <si>
    <t xml:space="preserve">1. En modo avión se pueden crear y guardar estos registros.
2. Siguen disponibles al cerrar y reabrir la app sin conexión.</t>
  </si>
  <si>
    <t xml:space="preserve">Prueba en modo avión</t>
  </si>
  <si>
    <t xml:space="preserve">OFF-02</t>
  </si>
  <si>
    <t xml:space="preserve">Sincronización automática al recuperar la conexión.</t>
  </si>
  <si>
    <t xml:space="preserve">Sistema</t>
  </si>
  <si>
    <t xml:space="preserve">1. Al volver la red, los pendientes suben sin acción del usuario en menos de X minutos.
2. No se duplican registros (id único generado en el dispositivo).</t>
  </si>
  <si>
    <t xml:space="preserve">Prueba en modo avión + verificación en servidor</t>
  </si>
  <si>
    <t xml:space="preserve">OFF-03</t>
  </si>
  <si>
    <t xml:space="preserve">Indicador visible de estado de conexión y pendientes.</t>
  </si>
  <si>
    <t xml:space="preserve">1. Muestra: sin conexión / N registros pendientes / sincronizado.</t>
  </si>
  <si>
    <t xml:space="preserve">Prueba visual</t>
  </si>
  <si>
    <t xml:space="preserve">OFF-04</t>
  </si>
  <si>
    <t xml:space="preserve">Consulta sin conexión de datos de referencia.</t>
  </si>
  <si>
    <t xml:space="preserve">1. Sin red se ven: lista de máquinas, fichas, plantillas de checklist y OT asignadas al usuario.</t>
  </si>
  <si>
    <t xml:space="preserve">OFF-05</t>
  </si>
  <si>
    <t xml:space="preserve">Regla de conflictos definida e implementada.</t>
  </si>
  <si>
    <t xml:space="preserve">1. Regla documentada (D-01).
2. Dos dispositivos editan la misma OT sin conexión: el resultado es el definido.
3. Ningún dato se pierde sin aviso al usuario.</t>
  </si>
  <si>
    <t xml:space="preserve">Prueba con 2 dispositivos</t>
  </si>
  <si>
    <t xml:space="preserve">OFF-06</t>
  </si>
  <si>
    <t xml:space="preserve">Manejo de consumos offline sin stock suficiente.</t>
  </si>
  <si>
    <t xml:space="preserve">Sistema, Administrador</t>
  </si>
  <si>
    <t xml:space="preserve">1. El consumo se registra al sincronizar según D-02.
2. Se genera alerta al Administrador si el stock queda negativo o insuficiente.</t>
  </si>
  <si>
    <t xml:space="preserve">Caso de prueba con stock bajo</t>
  </si>
  <si>
    <t xml:space="preserve">OFF-07</t>
  </si>
  <si>
    <t xml:space="preserve">Fotos tomadas sin conexión.</t>
  </si>
  <si>
    <t xml:space="preserve">1. Se guardan comprimidas en el dispositivo y suben al sincronizar.
2. Tamaño máximo definido.</t>
  </si>
  <si>
    <t xml:space="preserve">OFF-08</t>
  </si>
  <si>
    <t xml:space="preserve">Persistencia de datos offline.</t>
  </si>
  <si>
    <t xml:space="preserve">1. Los pendientes sobreviven a cerrar la app y reiniciar el dispositivo.
2. Está documentado cuántos días/registros soporta sin conexión.</t>
  </si>
  <si>
    <t xml:space="preserve">Prueba con reinicio del dispositivo</t>
  </si>
  <si>
    <t xml:space="preserve">INV-01</t>
  </si>
  <si>
    <t xml:space="preserve">Catálogo de repuestos.</t>
  </si>
  <si>
    <t xml:space="preserve">Doc §2C; Análisis §1</t>
  </si>
  <si>
    <t xml:space="preserve">1. Campos: código (alineado a SAP), descripción, unidad de medida, ubicación, costo unitario, stock mínimo.
2. No permite códigos duplicados.</t>
  </si>
  <si>
    <t xml:space="preserve">INV-02</t>
  </si>
  <si>
    <t xml:space="preserve">Entradas de inventario.</t>
  </si>
  <si>
    <t xml:space="preserve">1. Tipos: compra, ajuste, devolución.
2. Cada entrada registra cantidad, costo, usuario, fecha y motivo.</t>
  </si>
  <si>
    <t xml:space="preserve">INV-03</t>
  </si>
  <si>
    <t xml:space="preserve">Salidas de inventario con trazabilidad.</t>
  </si>
  <si>
    <t xml:space="preserve">Doc §4; Análisis §5</t>
  </si>
  <si>
    <t xml:space="preserve">1. Toda salida está vinculada a una OT o a un ajuste con motivo.
2. El stock se calcula a partir de los movimientos (no se edita directamente).</t>
  </si>
  <si>
    <t xml:space="preserve">Prueba funcional + revisión de base de datos</t>
  </si>
  <si>
    <t xml:space="preserve">INV-04</t>
  </si>
  <si>
    <t xml:space="preserve">Kardex por repuesto.</t>
  </si>
  <si>
    <t xml:space="preserve">1. Historial de movimientos con saldo.
2. El saldo del kardex es igual al stock mostrado.</t>
  </si>
  <si>
    <t xml:space="preserve">Caso de prueba con 5+ movimientos</t>
  </si>
  <si>
    <t xml:space="preserve">INV-05</t>
  </si>
  <si>
    <t xml:space="preserve">Reserva de repuestos para OT programadas.</t>
  </si>
  <si>
    <t xml:space="preserve">1. Disponible = stock físico − reservado.
2. Dos OT no pueden contar con la misma pieza.</t>
  </si>
  <si>
    <t xml:space="preserve">Caso de prueba con 2 OT y 1 pieza</t>
  </si>
  <si>
    <t xml:space="preserve">INV-06</t>
  </si>
  <si>
    <t xml:space="preserve">Alerta por stock mínimo / punto de reorden.</t>
  </si>
  <si>
    <t xml:space="preserve">1. Al bajar del mínimo se avisa y se sugiere solicitud de compra.</t>
  </si>
  <si>
    <t xml:space="preserve">INV-07</t>
  </si>
  <si>
    <t xml:space="preserve">Conteo físico y ajuste de inventario.</t>
  </si>
  <si>
    <t xml:space="preserve">1. Registro del conteo, diferencia calculada y ajuste con motivo.
2. El ajuste queda en bitácora.</t>
  </si>
  <si>
    <t xml:space="preserve">INV-08</t>
  </si>
  <si>
    <t xml:space="preserve">Método de costeo aplicado a los consumos.</t>
  </si>
  <si>
    <t xml:space="preserve">1. Método definido en D-04 (ej. promedio ponderado).
2. El costo de cada consumo coincide con el cálculo manual.</t>
  </si>
  <si>
    <t xml:space="preserve">Caso de prueba con cálculo manual</t>
  </si>
  <si>
    <t xml:space="preserve">INV-09</t>
  </si>
  <si>
    <t xml:space="preserve">Consulta y exportación del inventario.</t>
  </si>
  <si>
    <t xml:space="preserve">1. Filtros por código, descripción, ubicación y stock bajo.
2. Exporta a Excel.</t>
  </si>
  <si>
    <t xml:space="preserve">COM-01</t>
  </si>
  <si>
    <t xml:space="preserve">Solicitud de compra automática por faltante.</t>
  </si>
  <si>
    <t xml:space="preserve">Doc §2C</t>
  </si>
  <si>
    <t xml:space="preserve">1. Si una OT necesita más repuestos que el stock, se crea la solicitud por la diferencia, vinculada a la OT (ej. stock 1, kit pide 3 → solicita 2).
2. No se duplica si ya hay una solicitud abierta para la misma OT y repuesto.</t>
  </si>
  <si>
    <t xml:space="preserve">Caso de prueba descrito</t>
  </si>
  <si>
    <t xml:space="preserve">COM-02</t>
  </si>
  <si>
    <t xml:space="preserve">Solicitud de compra manual.</t>
  </si>
  <si>
    <t xml:space="preserve">1. El Administrador crea solicitudes sin OT asociada, con justificación.</t>
  </si>
  <si>
    <t xml:space="preserve">COM-03</t>
  </si>
  <si>
    <t xml:space="preserve">Aprobación o rechazo por el autorizador con un clic.</t>
  </si>
  <si>
    <t xml:space="preserve">Doc §2C, §4</t>
  </si>
  <si>
    <t xml:space="preserve">Autorizador</t>
  </si>
  <si>
    <t xml:space="preserve">1. El autorizador ve sus pendientes y aprueba o rechaza con un clic.
2. El rechazo exige motivo.
3. Queda usuario y hora de la decisión.</t>
  </si>
  <si>
    <t xml:space="preserve">COM-04</t>
  </si>
  <si>
    <t xml:space="preserve">Autorizador configurable desde la app sin programar.</t>
  </si>
  <si>
    <t xml:space="preserve">Doc §2C, §1</t>
  </si>
  <si>
    <t xml:space="preserve">1. El Administrador cambia el autorizador desde la app.
2. Las solicitudes nuevas llegan al nuevo autorizador.
3. Las pendientes se tratan según D-08.</t>
  </si>
  <si>
    <t xml:space="preserve">COM-05</t>
  </si>
  <si>
    <t xml:space="preserve">Segregación de funciones en compras.</t>
  </si>
  <si>
    <t xml:space="preserve">1. Nadie puede aprobar una solicitud creada por sí mismo.
2. El cambio de autorizador queda en bitácora y se notifica a Dirección.</t>
  </si>
  <si>
    <t xml:space="preserve">Prueba con usuario que es solicitante y autorizador</t>
  </si>
  <si>
    <t xml:space="preserve">COM-06</t>
  </si>
  <si>
    <t xml:space="preserve">Flujo tras rechazo de una solicitud.</t>
  </si>
  <si>
    <t xml:space="preserve">1. La OT vinculada pasa al estado definido en D-09 (ej. Esperando repuesto / reprogramar).
2. Se notifica al solicitante con el motivo.</t>
  </si>
  <si>
    <t xml:space="preserve">COM-07</t>
  </si>
  <si>
    <t xml:space="preserve">Seguimiento de la compra.</t>
  </si>
  <si>
    <t xml:space="preserve">1. Estados: Solicitada → Aprobada/Rechazada → Comprada → Recibida.
2. Campos: proveedor, n.° de orden de compra, costo.</t>
  </si>
  <si>
    <t xml:space="preserve">COM-08</t>
  </si>
  <si>
    <t xml:space="preserve">Entrada del repuesto comprado y aviso al solicitante.</t>
  </si>
  <si>
    <t xml:space="preserve">1. Al recibir, se genera la entrada al inventario vinculada a la solicitud.
2. Se notifica a quien la pidió.
3. Si la OT esperaba ese repuesto, se indica que ya puede ejecutarse.</t>
  </si>
  <si>
    <t xml:space="preserve">COM-09</t>
  </si>
  <si>
    <t xml:space="preserve">Suplente del autorizador y niveles de aprobación por monto.</t>
  </si>
  <si>
    <t xml:space="preserve">1. Suplente activable por ausencia.
2. Montos sobre un tope requieren segundo nivel.</t>
  </si>
  <si>
    <t xml:space="preserve">KPI-01</t>
  </si>
  <si>
    <t xml:space="preserve">Disponibilidad (uptime) por máquina y global.</t>
  </si>
  <si>
    <t xml:space="preserve">Doc §2D</t>
  </si>
  <si>
    <t xml:space="preserve">Dirección, Administrador</t>
  </si>
  <si>
    <t xml:space="preserve">1. Fórmula: (tiempo planificado − tiempo de parada) / tiempo planificado.
2. Con datos de prueba coincide con el cálculo manual.
3. Período seleccionable.</t>
  </si>
  <si>
    <t xml:space="preserve">KPI-02</t>
  </si>
  <si>
    <t xml:space="preserve">Tiempo medio entre fallas (MTBF).</t>
  </si>
  <si>
    <t xml:space="preserve">1. Fórmula: tiempo de operación / número de fallas, por máquina y período.
2. Coincide con el cálculo manual.</t>
  </si>
  <si>
    <t xml:space="preserve">KPI-03</t>
  </si>
  <si>
    <t xml:space="preserve">Tiempo medio de reparación (MTTR).</t>
  </si>
  <si>
    <t xml:space="preserve">1. Fórmula: tiempo total de reparación / número de reparaciones.
2. Coincide con el cálculo manual.</t>
  </si>
  <si>
    <t xml:space="preserve">KPI-04</t>
  </si>
  <si>
    <t xml:space="preserve">Cumplimiento de mantenimientos preventivos.</t>
  </si>
  <si>
    <t xml:space="preserve">1. Fórmula: preventivos cerrados a tiempo / programados en el período.
2. Coincide con el cálculo manual.</t>
  </si>
  <si>
    <t xml:space="preserve">KPI-05</t>
  </si>
  <si>
    <t xml:space="preserve">Rotación del inventario de repuestos.</t>
  </si>
  <si>
    <t xml:space="preserve">Dirección</t>
  </si>
  <si>
    <t xml:space="preserve">1. Fórmula: costo de consumos del período / inventario promedio.
2. Coincide con el cálculo manual.</t>
  </si>
  <si>
    <t xml:space="preserve">KPI-06</t>
  </si>
  <si>
    <t xml:space="preserve">Gráficos simples: máquinas que más fallan y estado del inventario.</t>
  </si>
  <si>
    <t xml:space="preserve">1. Top N máquinas por número de fallas en el período.
2. Resumen de inventario (valor total, ítems bajo mínimo).
3. Legibles en celular.</t>
  </si>
  <si>
    <t xml:space="preserve">Revisión con Yineth y Juan Camilo</t>
  </si>
  <si>
    <t xml:space="preserve">KPI-07</t>
  </si>
  <si>
    <t xml:space="preserve">Fórmulas, metas y período de cada KPI aprobados por Dirección.</t>
  </si>
  <si>
    <t xml:space="preserve">1. Documento firmado/aprobado con fórmulas y metas (D-05) antes de construir los KPI.</t>
  </si>
  <si>
    <t xml:space="preserve">Revisión documental</t>
  </si>
  <si>
    <t xml:space="preserve">SEG-01</t>
  </si>
  <si>
    <t xml:space="preserve">Cuentas individuales por usuario.</t>
  </si>
  <si>
    <t xml:space="preserve">1. No existen cuentas compartidas.
2. Cada registro queda asociado a una persona.</t>
  </si>
  <si>
    <t xml:space="preserve">Revisión de usuarios + prueba</t>
  </si>
  <si>
    <t xml:space="preserve">SEG-02</t>
  </si>
  <si>
    <t xml:space="preserve">Inicio de sesión apto para planta.</t>
  </si>
  <si>
    <t xml:space="preserve">1. Método definido en D-11 (ej. PIN o QR personal).
2. Cierre de sesión por inactividad en dispositivos compartidos.</t>
  </si>
  <si>
    <t xml:space="preserve">Prueba en planta</t>
  </si>
  <si>
    <t xml:space="preserve">SEG-03</t>
  </si>
  <si>
    <t xml:space="preserve">Roles y permisos: Administrador, Autorizador, Técnico, Operario.</t>
  </si>
  <si>
    <t xml:space="preserve">Doc §4; Análisis §4</t>
  </si>
  <si>
    <t xml:space="preserve">1. Cada acción del sistema se prueba con cada rol según la matriz de permisos.
2. Las acciones no permitidas se bloquean también en la API, no solo ocultando botones.</t>
  </si>
  <si>
    <t xml:space="preserve">Prueba de permisos rol × acción</t>
  </si>
  <si>
    <t xml:space="preserve">SEG-04</t>
  </si>
  <si>
    <t xml:space="preserve">Gestión de usuarios.</t>
  </si>
  <si>
    <t xml:space="preserve">1. Alta, baja (desactivación) y cambio de rol.
2. Un usuario desactivado no puede ingresar, pero sus registros históricos se conservan.</t>
  </si>
  <si>
    <t xml:space="preserve">SEG-05</t>
  </si>
  <si>
    <t xml:space="preserve">Bitácora de auditoría de acciones críticas.</t>
  </si>
  <si>
    <t xml:space="preserve">Administrador (consulta)</t>
  </si>
  <si>
    <t xml:space="preserve">1. Registra: cambio de autorizador, ajustes de inventario, anulaciones, aprobaciones, cambios de rol, eliminación de activos.
2. La bitácora no se puede editar.</t>
  </si>
  <si>
    <t xml:space="preserve">SEG-06</t>
  </si>
  <si>
    <t xml:space="preserve">Seguridad técnica básica.</t>
  </si>
  <si>
    <t xml:space="preserve">1. HTTPS en todo el sistema.
2. Contraseñas/PIN almacenados con hash robusto (bcrypt/argon2).
3. Límite de intentos de inicio de sesión.
4. Respaldos cifrados.</t>
  </si>
  <si>
    <t xml:space="preserve">Revisión técnica</t>
  </si>
  <si>
    <t xml:space="preserve">NOT-01</t>
  </si>
  <si>
    <t xml:space="preserve">Notificaciones por evento.</t>
  </si>
  <si>
    <t xml:space="preserve">Doc §1, §2C; Análisis §4</t>
  </si>
  <si>
    <t xml:space="preserve">1. Eventos: nueva falla → mantenimiento; solicitud → autorizador; aprobación/rechazo → solicitante; repuesto recibido → solicitante; temperatura fuera de rango → calidad; preventivo próximo → mantenimiento.
2. Llegan en menos de 1 minuto con conexión por el canal definido (D-10).</t>
  </si>
  <si>
    <t xml:space="preserve">Prueba de cada evento</t>
  </si>
  <si>
    <t xml:space="preserve">NOT-02</t>
  </si>
  <si>
    <t xml:space="preserve">Bandeja de notificaciones dentro de la app.</t>
  </si>
  <si>
    <t xml:space="preserve">1. Todas las notificaciones quedan visibles en la app aunque falle el push (ej. iPhone).
2. Marcar como leída.</t>
  </si>
  <si>
    <t xml:space="preserve">NFR-01</t>
  </si>
  <si>
    <t xml:space="preserve">Respaldos automáticos.</t>
  </si>
  <si>
    <t xml:space="preserve">Análisis §5</t>
  </si>
  <si>
    <t xml:space="preserve">Sistemas</t>
  </si>
  <si>
    <t xml:space="preserve">1. Respaldo diario de base de datos y archivos.
2. Se realiza al menos una prueba de restauración antes de la salida.</t>
  </si>
  <si>
    <t xml:space="preserve">Prueba de restauración documentada</t>
  </si>
  <si>
    <t xml:space="preserve">NFR-02</t>
  </si>
  <si>
    <t xml:space="preserve">Rendimiento aceptable en planta.</t>
  </si>
  <si>
    <t xml:space="preserve">1. Pantallas principales cargan en menos de 3 s con Wi-Fi de planta o 4G.</t>
  </si>
  <si>
    <t xml:space="preserve">Medición en planta</t>
  </si>
  <si>
    <t xml:space="preserve">NFR-03</t>
  </si>
  <si>
    <t xml:space="preserve">Infraestructura y despliegue definidos y documentados.</t>
  </si>
  <si>
    <t xml:space="preserve">Doc §3; Análisis §5</t>
  </si>
  <si>
    <t xml:space="preserve">1. Decidido servidor propio o nube (D-12).
2. Procedimiento de despliegue documentado y probado.</t>
  </si>
  <si>
    <t xml:space="preserve">NFR-04</t>
  </si>
  <si>
    <t xml:space="preserve">Documentación técnica para el equipo de sistemas.</t>
  </si>
  <si>
    <t xml:space="preserve">1. Arquitectura, modelo de datos, instalación y despliegue documentados.
2. Otra persona del equipo puede levantar el entorno siguiendo la guía.</t>
  </si>
  <si>
    <t xml:space="preserve">Prueba: otra persona instala desde la guía</t>
  </si>
  <si>
    <t xml:space="preserve">INT-01</t>
  </si>
  <si>
    <t xml:space="preserve">Carga inicial masiva de máquinas e inventario.</t>
  </si>
  <si>
    <t xml:space="preserve">Doc §3, §5</t>
  </si>
  <si>
    <t xml:space="preserve">Administrador, Sistemas</t>
  </si>
  <si>
    <t xml:space="preserve">1. Plantilla Excel para máquinas y repuestos.
2. Valida errores (códigos duplicados, campos vacíos) e informa la fila.
3. Totales cargados coinciden con el archivo.</t>
  </si>
  <si>
    <t xml:space="preserve">Carga de prueba con errores intencionales</t>
  </si>
  <si>
    <t xml:space="preserve">INT-02</t>
  </si>
  <si>
    <t xml:space="preserve">Códigos de activos y repuestos alineados con SAP.</t>
  </si>
  <si>
    <t xml:space="preserve">Sistemas, Contabilidad</t>
  </si>
  <si>
    <t xml:space="preserve">1. La codificación se acuerda antes de la carga inicial (D-13).
2. Cada repuesto tiene su código SAP o campo equivalente.</t>
  </si>
  <si>
    <t xml:space="preserve">Revisión con muestra de códigos</t>
  </si>
  <si>
    <t xml:space="preserve">INT-03</t>
  </si>
  <si>
    <t xml:space="preserve">Sincronización con SAP.</t>
  </si>
  <si>
    <t xml:space="preserve">Doc §3 (conexión futura)</t>
  </si>
  <si>
    <t xml:space="preserve">1. Por definir en la fase de integración.</t>
  </si>
  <si>
    <t xml:space="preserve">Por definir</t>
  </si>
  <si>
    <t xml:space="preserve">IMP-01</t>
  </si>
  <si>
    <t xml:space="preserve">Levantamiento de datos técnicos e inventario actual.</t>
  </si>
  <si>
    <t xml:space="preserve">Doc §5 (Semana 1)</t>
  </si>
  <si>
    <t xml:space="preserve">1. 100% de máquinas y repuestos en uso cargados.
2. Validado por Carlos.</t>
  </si>
  <si>
    <t xml:space="preserve">Conteo y firma de validación</t>
  </si>
  <si>
    <t xml:space="preserve">IMP-02</t>
  </si>
  <si>
    <t xml:space="preserve">Pruebas en planta, incluido el uso sin internet.</t>
  </si>
  <si>
    <t xml:space="preserve">Doc §5 (Semana 4)</t>
  </si>
  <si>
    <t xml:space="preserve">1. Pruebas en las zonas sin señal identificadas.
2. Casos de prueba de esta matriz ejecutados con resultados registrados.</t>
  </si>
  <si>
    <t xml:space="preserve">Ejecución de esta matriz</t>
  </si>
  <si>
    <t xml:space="preserve">IMP-03</t>
  </si>
  <si>
    <t xml:space="preserve">Aceptación formal por los líderes del proceso.</t>
  </si>
  <si>
    <t xml:space="preserve">Doc §5</t>
  </si>
  <si>
    <t xml:space="preserve">Carlos, Yineth, Juan Camilo</t>
  </si>
  <si>
    <t xml:space="preserve">1. Acta de aceptación firmada.
2. Requisitos MVP en estado Cumple, o con excepciones acordadas por escrito.</t>
  </si>
  <si>
    <t xml:space="preserve">Acta firmada</t>
  </si>
  <si>
    <t xml:space="preserve">IMP-04</t>
  </si>
  <si>
    <t xml:space="preserve">Capacitación de usuarios.</t>
  </si>
  <si>
    <t xml:space="preserve">1. Sesiones para operarios, técnicos, administradores y autorizador.
2. Guía rápida entregada.
3. Registro de asistencia.</t>
  </si>
  <si>
    <t xml:space="preserve">Lista de asistencia + guía</t>
  </si>
  <si>
    <t xml:space="preserve">IMP-05</t>
  </si>
  <si>
    <t xml:space="preserve">Salida a operación con plan de soporte.</t>
  </si>
  <si>
    <t xml:space="preserve">Doc §5; Análisis §5</t>
  </si>
  <si>
    <t xml:space="preserve">1. Fecha de salida definida.
2. Canal de soporte y responsable durante las primeras semanas.
3. Procedimiento para reportar errores.</t>
  </si>
  <si>
    <t xml:space="preserve">Tema</t>
  </si>
  <si>
    <t xml:space="preserve">Pregunta a resolver</t>
  </si>
  <si>
    <t xml:space="preserve">Requisitos afectados</t>
  </si>
  <si>
    <t xml:space="preserve">Quién decide</t>
  </si>
  <si>
    <t xml:space="preserve">Decisión tomada</t>
  </si>
  <si>
    <t xml:space="preserve">Fecha</t>
  </si>
  <si>
    <t xml:space="preserve">D-01</t>
  </si>
  <si>
    <t xml:space="preserve">Conflictos offline</t>
  </si>
  <si>
    <t xml:space="preserve">¿Qué pasa si dos personas modifican la misma OT sin conexión? (ej. gana el primero en sincronizar y el segundo recibe aviso)</t>
  </si>
  <si>
    <t xml:space="preserve">Equipo dev + Carlos</t>
  </si>
  <si>
    <t xml:space="preserve">D-02</t>
  </si>
  <si>
    <t xml:space="preserve">Stock negativo</t>
  </si>
  <si>
    <t xml:space="preserve">Si se sincroniza un consumo offline y no hay stock suficiente: ¿se permite negativo con alerta, o se bloquea y se ajusta?</t>
  </si>
  <si>
    <t xml:space="preserve">OFF-06, INV-03</t>
  </si>
  <si>
    <t xml:space="preserve">Carlos, Yineth</t>
  </si>
  <si>
    <t xml:space="preserve">D-03</t>
  </si>
  <si>
    <t xml:space="preserve">Alcance del LCC</t>
  </si>
  <si>
    <t xml:space="preserve">¿El costo por máquina incluye mano de obra y servicios externos? ¿Qué tarifa por hora se usa para los técnicos?</t>
  </si>
  <si>
    <t xml:space="preserve">ACT-04, MNT-10</t>
  </si>
  <si>
    <t xml:space="preserve">D-04</t>
  </si>
  <si>
    <t xml:space="preserve">Costeo de inventario</t>
  </si>
  <si>
    <t xml:space="preserve">Método de costeo de repuestos (promedio ponderado, último costo…) y consistencia con contabilidad/SAP.</t>
  </si>
  <si>
    <t xml:space="preserve">INV-08, KPI-05</t>
  </si>
  <si>
    <t xml:space="preserve">Dirección + Contabilidad</t>
  </si>
  <si>
    <t xml:space="preserve">D-05</t>
  </si>
  <si>
    <t xml:space="preserve">Definición de KPIs</t>
  </si>
  <si>
    <t xml:space="preserve">Fórmulas, metas, período de cálculo y de dónde sale el tiempo planificado de producción.</t>
  </si>
  <si>
    <t xml:space="preserve">KPI-01 a KPI-07</t>
  </si>
  <si>
    <t xml:space="preserve">D-06</t>
  </si>
  <si>
    <t xml:space="preserve">Límites críticos</t>
  </si>
  <si>
    <t xml:space="preserve">Rango de temperatura por equipo y frecuencia de registro exigida.</t>
  </si>
  <si>
    <t xml:space="preserve">CAL-02, CAL-07</t>
  </si>
  <si>
    <t xml:space="preserve">Calidad</t>
  </si>
  <si>
    <t xml:space="preserve">D-07</t>
  </si>
  <si>
    <t xml:space="preserve">Requisitos normativos</t>
  </si>
  <si>
    <t xml:space="preserve">Requisitos de los registros HACCP/BPM según la normativa aplicable y el auditor (retención, firma, formato de exportación).</t>
  </si>
  <si>
    <t xml:space="preserve">CAL-05, CAL-06</t>
  </si>
  <si>
    <t xml:space="preserve">D-08</t>
  </si>
  <si>
    <t xml:space="preserve">Cambio de autorizador</t>
  </si>
  <si>
    <t xml:space="preserve">Al cambiar de autorizador, ¿las solicitudes pendientes pasan al nuevo? ¿Habrá suplente o montos con doble aprobación?</t>
  </si>
  <si>
    <t xml:space="preserve">COM-04, COM-09</t>
  </si>
  <si>
    <t xml:space="preserve">D-09</t>
  </si>
  <si>
    <t xml:space="preserve">Rechazo de compras</t>
  </si>
  <si>
    <t xml:space="preserve">Estado de la OT tras un rechazo (esperando repuesto, reprogramada, cancelada) y quién decide.</t>
  </si>
  <si>
    <t xml:space="preserve">Carlos, Juan Camilo</t>
  </si>
  <si>
    <t xml:space="preserve">D-10</t>
  </si>
  <si>
    <t xml:space="preserve">Canal de notificaciones</t>
  </si>
  <si>
    <t xml:space="preserve">Push, correo, WhatsApp o solo dentro de la app. Considerar limitaciones de iPhone.</t>
  </si>
  <si>
    <t xml:space="preserve">Dirección + Sistemas</t>
  </si>
  <si>
    <t xml:space="preserve">D-11</t>
  </si>
  <si>
    <t xml:space="preserve">Login en planta</t>
  </si>
  <si>
    <t xml:space="preserve">Método de ingreso en planta (PIN, QR personal, usuario/contraseña) y tiempo de cierre por inactividad.</t>
  </si>
  <si>
    <t xml:space="preserve">Sistemas + Carlos</t>
  </si>
  <si>
    <t xml:space="preserve">D-12</t>
  </si>
  <si>
    <t xml:space="preserve">Infraestructura</t>
  </si>
  <si>
    <t xml:space="preserve">Servidor propio o nube, política de respaldos y retención.</t>
  </si>
  <si>
    <t xml:space="preserve">NFR-01, NFR-03</t>
  </si>
  <si>
    <t xml:space="preserve">D-13</t>
  </si>
  <si>
    <t xml:space="preserve">Codificación</t>
  </si>
  <si>
    <t xml:space="preserve">Codificación de activos y repuestos alineada con SAP antes de la carga inicial.</t>
  </si>
  <si>
    <t xml:space="preserve">INT-02, INT-01</t>
  </si>
  <si>
    <t xml:space="preserve">Sistemas + Contabilidad</t>
  </si>
  <si>
    <t xml:space="preserve">D-14</t>
  </si>
  <si>
    <t xml:space="preserve">Alcance del MVP</t>
  </si>
  <si>
    <t xml:space="preserve">Confirmar qué entra en las 4 semanas (columna Prioridad) y qué pasa a la siguiente fase.</t>
  </si>
  <si>
    <t xml:space="preserve">D-15</t>
  </si>
  <si>
    <t xml:space="preserve">Rol Técnico</t>
  </si>
  <si>
    <t xml:space="preserve">Confirmar rol Técnico separado del Operario y quién cierra las OT.</t>
  </si>
  <si>
    <t xml:space="preserve">SEG-03, MNT-03</t>
  </si>
  <si>
    <t xml:space="preserve">Carlos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</si>
</sst>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DDEBF7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  <col collapsed="false" customWidth="true" hidden="false" outlineLevel="0" max="4" min="3" style="0" width="2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  <row r="11" customFormat="false" ht="15" hidden="false" customHeight="false" outlineLevel="0" collapsed="false">
      <c r="A11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20</v>
      </c>
    </row>
    <row r="13" customFormat="false" ht="45" hidden="false" customHeight="true" outlineLevel="0" collapsed="false">
      <c r="A13" s="6" t="s">
        <v>21</v>
      </c>
      <c r="B13" s="6" t="s">
        <v>22</v>
      </c>
      <c r="C13" s="6" t="s">
        <v>23</v>
      </c>
      <c r="D13" s="6" t="s">
        <v>24</v>
      </c>
      <c r="E13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7" t="s">
        <v>27</v>
      </c>
    </row>
    <row r="4" customFormat="false" ht="15" hidden="false" customHeight="false" outlineLevel="0" collapsed="false">
      <c r="A4" s="8" t="s">
        <v>28</v>
      </c>
      <c r="B4" s="8" t="s">
        <v>29</v>
      </c>
      <c r="C4" s="8" t="s">
        <v>22</v>
      </c>
      <c r="D4" s="8" t="s">
        <v>30</v>
      </c>
      <c r="E4" s="8" t="s">
        <v>31</v>
      </c>
      <c r="F4" s="8" t="s">
        <v>32</v>
      </c>
      <c r="G4" s="8" t="s">
        <v>33</v>
      </c>
      <c r="H4" s="8" t="s">
        <v>34</v>
      </c>
      <c r="I4" s="8" t="s">
        <v>35</v>
      </c>
    </row>
    <row r="5" customFormat="false" ht="15" hidden="false" customHeight="false" outlineLevel="0" collapsed="false">
      <c r="A5" s="9" t="s">
        <v>36</v>
      </c>
      <c r="B5" s="10" t="n">
        <f aca="false">COUNTIF(Matriz!$B$2:$B$80,A5)</f>
        <v>2</v>
      </c>
      <c r="C5" s="10" t="n">
        <f aca="false">COUNTIFS(Matriz!$B$2:$B$80,$A5,Matriz!$I$2:$I$80,"Cumple")</f>
        <v>0</v>
      </c>
      <c r="D5" s="10" t="n">
        <f aca="false">COUNTIFS(Matriz!$B$2:$B$80,$A5,Matriz!$I$2:$I$80,"Cumple parcial")</f>
        <v>0</v>
      </c>
      <c r="E5" s="10" t="n">
        <f aca="false">COUNTIFS(Matriz!$B$2:$B$80,$A5,Matriz!$I$2:$I$80,"No cumple")</f>
        <v>0</v>
      </c>
      <c r="F5" s="10" t="n">
        <f aca="false">COUNTIFS(Matriz!$B$2:$B$80,$A5,Matriz!$I$2:$I$80,"En desarrollo")</f>
        <v>0</v>
      </c>
      <c r="G5" s="10" t="n">
        <f aca="false">COUNTIFS(Matriz!$B$2:$B$80,$A5,Matriz!$I$2:$I$80,"Pendiente")</f>
        <v>2</v>
      </c>
      <c r="H5" s="10" t="n">
        <f aca="false">COUNTIFS(Matriz!$B$2:$B$80,$A5,Matriz!$I$2:$I$80,"N/A")</f>
        <v>0</v>
      </c>
      <c r="I5" s="11" t="n">
        <f aca="false">IF(B5-H5=0,"-",C5/(B5-H5))</f>
        <v>0</v>
      </c>
    </row>
    <row r="6" customFormat="false" ht="15" hidden="false" customHeight="false" outlineLevel="0" collapsed="false">
      <c r="A6" s="9" t="s">
        <v>37</v>
      </c>
      <c r="B6" s="10" t="n">
        <f aca="false">COUNTIF(Matriz!$B$2:$B$80,A6)</f>
        <v>6</v>
      </c>
      <c r="C6" s="10" t="n">
        <f aca="false">COUNTIFS(Matriz!$B$2:$B$80,$A6,Matriz!$I$2:$I$80,"Cumple")</f>
        <v>0</v>
      </c>
      <c r="D6" s="10" t="n">
        <f aca="false">COUNTIFS(Matriz!$B$2:$B$80,$A6,Matriz!$I$2:$I$80,"Cumple parcial")</f>
        <v>0</v>
      </c>
      <c r="E6" s="10" t="n">
        <f aca="false">COUNTIFS(Matriz!$B$2:$B$80,$A6,Matriz!$I$2:$I$80,"No cumple")</f>
        <v>0</v>
      </c>
      <c r="F6" s="10" t="n">
        <f aca="false">COUNTIFS(Matriz!$B$2:$B$80,$A6,Matriz!$I$2:$I$80,"En desarrollo")</f>
        <v>0</v>
      </c>
      <c r="G6" s="10" t="n">
        <f aca="false">COUNTIFS(Matriz!$B$2:$B$80,$A6,Matriz!$I$2:$I$80,"Pendiente")</f>
        <v>6</v>
      </c>
      <c r="H6" s="10" t="n">
        <f aca="false">COUNTIFS(Matriz!$B$2:$B$80,$A6,Matriz!$I$2:$I$80,"N/A")</f>
        <v>0</v>
      </c>
      <c r="I6" s="11" t="n">
        <f aca="false">IF(B6-H6=0,"-",C6/(B6-H6))</f>
        <v>0</v>
      </c>
    </row>
    <row r="7" customFormat="false" ht="15" hidden="false" customHeight="false" outlineLevel="0" collapsed="false">
      <c r="A7" s="9" t="s">
        <v>38</v>
      </c>
      <c r="B7" s="10" t="n">
        <f aca="false">COUNTIF(Matriz!$B$2:$B$80,A7)</f>
        <v>7</v>
      </c>
      <c r="C7" s="10" t="n">
        <f aca="false">COUNTIFS(Matriz!$B$2:$B$80,$A7,Matriz!$I$2:$I$80,"Cumple")</f>
        <v>0</v>
      </c>
      <c r="D7" s="10" t="n">
        <f aca="false">COUNTIFS(Matriz!$B$2:$B$80,$A7,Matriz!$I$2:$I$80,"Cumple parcial")</f>
        <v>0</v>
      </c>
      <c r="E7" s="10" t="n">
        <f aca="false">COUNTIFS(Matriz!$B$2:$B$80,$A7,Matriz!$I$2:$I$80,"No cumple")</f>
        <v>0</v>
      </c>
      <c r="F7" s="10" t="n">
        <f aca="false">COUNTIFS(Matriz!$B$2:$B$80,$A7,Matriz!$I$2:$I$80,"En desarrollo")</f>
        <v>0</v>
      </c>
      <c r="G7" s="10" t="n">
        <f aca="false">COUNTIFS(Matriz!$B$2:$B$80,$A7,Matriz!$I$2:$I$80,"Pendiente")</f>
        <v>7</v>
      </c>
      <c r="H7" s="10" t="n">
        <f aca="false">COUNTIFS(Matriz!$B$2:$B$80,$A7,Matriz!$I$2:$I$80,"N/A")</f>
        <v>0</v>
      </c>
      <c r="I7" s="11" t="n">
        <f aca="false">IF(B7-H7=0,"-",C7/(B7-H7))</f>
        <v>0</v>
      </c>
    </row>
    <row r="8" customFormat="false" ht="15" hidden="false" customHeight="false" outlineLevel="0" collapsed="false">
      <c r="A8" s="9" t="s">
        <v>39</v>
      </c>
      <c r="B8" s="10" t="n">
        <f aca="false">COUNTIF(Matriz!$B$2:$B$80,A8)</f>
        <v>11</v>
      </c>
      <c r="C8" s="10" t="n">
        <f aca="false">COUNTIFS(Matriz!$B$2:$B$80,$A8,Matriz!$I$2:$I$80,"Cumple")</f>
        <v>0</v>
      </c>
      <c r="D8" s="10" t="n">
        <f aca="false">COUNTIFS(Matriz!$B$2:$B$80,$A8,Matriz!$I$2:$I$80,"Cumple parcial")</f>
        <v>0</v>
      </c>
      <c r="E8" s="10" t="n">
        <f aca="false">COUNTIFS(Matriz!$B$2:$B$80,$A8,Matriz!$I$2:$I$80,"No cumple")</f>
        <v>0</v>
      </c>
      <c r="F8" s="10" t="n">
        <f aca="false">COUNTIFS(Matriz!$B$2:$B$80,$A8,Matriz!$I$2:$I$80,"En desarrollo")</f>
        <v>0</v>
      </c>
      <c r="G8" s="10" t="n">
        <f aca="false">COUNTIFS(Matriz!$B$2:$B$80,$A8,Matriz!$I$2:$I$80,"Pendiente")</f>
        <v>11</v>
      </c>
      <c r="H8" s="10" t="n">
        <f aca="false">COUNTIFS(Matriz!$B$2:$B$80,$A8,Matriz!$I$2:$I$80,"N/A")</f>
        <v>0</v>
      </c>
      <c r="I8" s="11" t="n">
        <f aca="false">IF(B8-H8=0,"-",C8/(B8-H8))</f>
        <v>0</v>
      </c>
    </row>
    <row r="9" customFormat="false" ht="15" hidden="false" customHeight="false" outlineLevel="0" collapsed="false">
      <c r="A9" s="9" t="s">
        <v>40</v>
      </c>
      <c r="B9" s="10" t="n">
        <f aca="false">COUNTIF(Matriz!$B$2:$B$80,A9)</f>
        <v>8</v>
      </c>
      <c r="C9" s="10" t="n">
        <f aca="false">COUNTIFS(Matriz!$B$2:$B$80,$A9,Matriz!$I$2:$I$80,"Cumple")</f>
        <v>0</v>
      </c>
      <c r="D9" s="10" t="n">
        <f aca="false">COUNTIFS(Matriz!$B$2:$B$80,$A9,Matriz!$I$2:$I$80,"Cumple parcial")</f>
        <v>0</v>
      </c>
      <c r="E9" s="10" t="n">
        <f aca="false">COUNTIFS(Matriz!$B$2:$B$80,$A9,Matriz!$I$2:$I$80,"No cumple")</f>
        <v>0</v>
      </c>
      <c r="F9" s="10" t="n">
        <f aca="false">COUNTIFS(Matriz!$B$2:$B$80,$A9,Matriz!$I$2:$I$80,"En desarrollo")</f>
        <v>0</v>
      </c>
      <c r="G9" s="10" t="n">
        <f aca="false">COUNTIFS(Matriz!$B$2:$B$80,$A9,Matriz!$I$2:$I$80,"Pendiente")</f>
        <v>8</v>
      </c>
      <c r="H9" s="10" t="n">
        <f aca="false">COUNTIFS(Matriz!$B$2:$B$80,$A9,Matriz!$I$2:$I$80,"N/A")</f>
        <v>0</v>
      </c>
      <c r="I9" s="11" t="n">
        <f aca="false">IF(B9-H9=0,"-",C9/(B9-H9))</f>
        <v>0</v>
      </c>
    </row>
    <row r="10" customFormat="false" ht="15" hidden="false" customHeight="false" outlineLevel="0" collapsed="false">
      <c r="A10" s="9" t="s">
        <v>41</v>
      </c>
      <c r="B10" s="10" t="n">
        <f aca="false">COUNTIF(Matriz!$B$2:$B$80,A10)</f>
        <v>9</v>
      </c>
      <c r="C10" s="10" t="n">
        <f aca="false">COUNTIFS(Matriz!$B$2:$B$80,$A10,Matriz!$I$2:$I$80,"Cumple")</f>
        <v>0</v>
      </c>
      <c r="D10" s="10" t="n">
        <f aca="false">COUNTIFS(Matriz!$B$2:$B$80,$A10,Matriz!$I$2:$I$80,"Cumple parcial")</f>
        <v>0</v>
      </c>
      <c r="E10" s="10" t="n">
        <f aca="false">COUNTIFS(Matriz!$B$2:$B$80,$A10,Matriz!$I$2:$I$80,"No cumple")</f>
        <v>0</v>
      </c>
      <c r="F10" s="10" t="n">
        <f aca="false">COUNTIFS(Matriz!$B$2:$B$80,$A10,Matriz!$I$2:$I$80,"En desarrollo")</f>
        <v>0</v>
      </c>
      <c r="G10" s="10" t="n">
        <f aca="false">COUNTIFS(Matriz!$B$2:$B$80,$A10,Matriz!$I$2:$I$80,"Pendiente")</f>
        <v>9</v>
      </c>
      <c r="H10" s="10" t="n">
        <f aca="false">COUNTIFS(Matriz!$B$2:$B$80,$A10,Matriz!$I$2:$I$80,"N/A")</f>
        <v>0</v>
      </c>
      <c r="I10" s="11" t="n">
        <f aca="false">IF(B10-H10=0,"-",C10/(B10-H10))</f>
        <v>0</v>
      </c>
    </row>
    <row r="11" customFormat="false" ht="15" hidden="false" customHeight="false" outlineLevel="0" collapsed="false">
      <c r="A11" s="9" t="s">
        <v>42</v>
      </c>
      <c r="B11" s="10" t="n">
        <f aca="false">COUNTIF(Matriz!$B$2:$B$80,A11)</f>
        <v>9</v>
      </c>
      <c r="C11" s="10" t="n">
        <f aca="false">COUNTIFS(Matriz!$B$2:$B$80,$A11,Matriz!$I$2:$I$80,"Cumple")</f>
        <v>0</v>
      </c>
      <c r="D11" s="10" t="n">
        <f aca="false">COUNTIFS(Matriz!$B$2:$B$80,$A11,Matriz!$I$2:$I$80,"Cumple parcial")</f>
        <v>0</v>
      </c>
      <c r="E11" s="10" t="n">
        <f aca="false">COUNTIFS(Matriz!$B$2:$B$80,$A11,Matriz!$I$2:$I$80,"No cumple")</f>
        <v>0</v>
      </c>
      <c r="F11" s="10" t="n">
        <f aca="false">COUNTIFS(Matriz!$B$2:$B$80,$A11,Matriz!$I$2:$I$80,"En desarrollo")</f>
        <v>0</v>
      </c>
      <c r="G11" s="10" t="n">
        <f aca="false">COUNTIFS(Matriz!$B$2:$B$80,$A11,Matriz!$I$2:$I$80,"Pendiente")</f>
        <v>9</v>
      </c>
      <c r="H11" s="10" t="n">
        <f aca="false">COUNTIFS(Matriz!$B$2:$B$80,$A11,Matriz!$I$2:$I$80,"N/A")</f>
        <v>0</v>
      </c>
      <c r="I11" s="11" t="n">
        <f aca="false">IF(B11-H11=0,"-",C11/(B11-H11))</f>
        <v>0</v>
      </c>
    </row>
    <row r="12" customFormat="false" ht="15" hidden="false" customHeight="false" outlineLevel="0" collapsed="false">
      <c r="A12" s="9" t="s">
        <v>43</v>
      </c>
      <c r="B12" s="10" t="n">
        <f aca="false">COUNTIF(Matriz!$B$2:$B$80,A12)</f>
        <v>7</v>
      </c>
      <c r="C12" s="10" t="n">
        <f aca="false">COUNTIFS(Matriz!$B$2:$B$80,$A12,Matriz!$I$2:$I$80,"Cumple")</f>
        <v>0</v>
      </c>
      <c r="D12" s="10" t="n">
        <f aca="false">COUNTIFS(Matriz!$B$2:$B$80,$A12,Matriz!$I$2:$I$80,"Cumple parcial")</f>
        <v>0</v>
      </c>
      <c r="E12" s="10" t="n">
        <f aca="false">COUNTIFS(Matriz!$B$2:$B$80,$A12,Matriz!$I$2:$I$80,"No cumple")</f>
        <v>0</v>
      </c>
      <c r="F12" s="10" t="n">
        <f aca="false">COUNTIFS(Matriz!$B$2:$B$80,$A12,Matriz!$I$2:$I$80,"En desarrollo")</f>
        <v>0</v>
      </c>
      <c r="G12" s="10" t="n">
        <f aca="false">COUNTIFS(Matriz!$B$2:$B$80,$A12,Matriz!$I$2:$I$80,"Pendiente")</f>
        <v>7</v>
      </c>
      <c r="H12" s="10" t="n">
        <f aca="false">COUNTIFS(Matriz!$B$2:$B$80,$A12,Matriz!$I$2:$I$80,"N/A")</f>
        <v>0</v>
      </c>
      <c r="I12" s="11" t="n">
        <f aca="false">IF(B12-H12=0,"-",C12/(B12-H12))</f>
        <v>0</v>
      </c>
    </row>
    <row r="13" customFormat="false" ht="15" hidden="false" customHeight="false" outlineLevel="0" collapsed="false">
      <c r="A13" s="9" t="s">
        <v>44</v>
      </c>
      <c r="B13" s="10" t="n">
        <f aca="false">COUNTIF(Matriz!$B$2:$B$80,A13)</f>
        <v>6</v>
      </c>
      <c r="C13" s="10" t="n">
        <f aca="false">COUNTIFS(Matriz!$B$2:$B$80,$A13,Matriz!$I$2:$I$80,"Cumple")</f>
        <v>0</v>
      </c>
      <c r="D13" s="10" t="n">
        <f aca="false">COUNTIFS(Matriz!$B$2:$B$80,$A13,Matriz!$I$2:$I$80,"Cumple parcial")</f>
        <v>0</v>
      </c>
      <c r="E13" s="10" t="n">
        <f aca="false">COUNTIFS(Matriz!$B$2:$B$80,$A13,Matriz!$I$2:$I$80,"No cumple")</f>
        <v>0</v>
      </c>
      <c r="F13" s="10" t="n">
        <f aca="false">COUNTIFS(Matriz!$B$2:$B$80,$A13,Matriz!$I$2:$I$80,"En desarrollo")</f>
        <v>0</v>
      </c>
      <c r="G13" s="10" t="n">
        <f aca="false">COUNTIFS(Matriz!$B$2:$B$80,$A13,Matriz!$I$2:$I$80,"Pendiente")</f>
        <v>6</v>
      </c>
      <c r="H13" s="10" t="n">
        <f aca="false">COUNTIFS(Matriz!$B$2:$B$80,$A13,Matriz!$I$2:$I$80,"N/A")</f>
        <v>0</v>
      </c>
      <c r="I13" s="11" t="n">
        <f aca="false">IF(B13-H13=0,"-",C13/(B13-H13))</f>
        <v>0</v>
      </c>
    </row>
    <row r="14" customFormat="false" ht="15" hidden="false" customHeight="false" outlineLevel="0" collapsed="false">
      <c r="A14" s="9" t="s">
        <v>45</v>
      </c>
      <c r="B14" s="10" t="n">
        <f aca="false">COUNTIF(Matriz!$B$2:$B$80,A14)</f>
        <v>2</v>
      </c>
      <c r="C14" s="10" t="n">
        <f aca="false">COUNTIFS(Matriz!$B$2:$B$80,$A14,Matriz!$I$2:$I$80,"Cumple")</f>
        <v>0</v>
      </c>
      <c r="D14" s="10" t="n">
        <f aca="false">COUNTIFS(Matriz!$B$2:$B$80,$A14,Matriz!$I$2:$I$80,"Cumple parcial")</f>
        <v>0</v>
      </c>
      <c r="E14" s="10" t="n">
        <f aca="false">COUNTIFS(Matriz!$B$2:$B$80,$A14,Matriz!$I$2:$I$80,"No cumple")</f>
        <v>0</v>
      </c>
      <c r="F14" s="10" t="n">
        <f aca="false">COUNTIFS(Matriz!$B$2:$B$80,$A14,Matriz!$I$2:$I$80,"En desarrollo")</f>
        <v>0</v>
      </c>
      <c r="G14" s="10" t="n">
        <f aca="false">COUNTIFS(Matriz!$B$2:$B$80,$A14,Matriz!$I$2:$I$80,"Pendiente")</f>
        <v>2</v>
      </c>
      <c r="H14" s="10" t="n">
        <f aca="false">COUNTIFS(Matriz!$B$2:$B$80,$A14,Matriz!$I$2:$I$80,"N/A")</f>
        <v>0</v>
      </c>
      <c r="I14" s="11" t="n">
        <f aca="false">IF(B14-H14=0,"-",C14/(B14-H14))</f>
        <v>0</v>
      </c>
    </row>
    <row r="15" customFormat="false" ht="15" hidden="false" customHeight="false" outlineLevel="0" collapsed="false">
      <c r="A15" s="9" t="s">
        <v>46</v>
      </c>
      <c r="B15" s="10" t="n">
        <f aca="false">COUNTIF(Matriz!$B$2:$B$80,A15)</f>
        <v>4</v>
      </c>
      <c r="C15" s="10" t="n">
        <f aca="false">COUNTIFS(Matriz!$B$2:$B$80,$A15,Matriz!$I$2:$I$80,"Cumple")</f>
        <v>0</v>
      </c>
      <c r="D15" s="10" t="n">
        <f aca="false">COUNTIFS(Matriz!$B$2:$B$80,$A15,Matriz!$I$2:$I$80,"Cumple parcial")</f>
        <v>0</v>
      </c>
      <c r="E15" s="10" t="n">
        <f aca="false">COUNTIFS(Matriz!$B$2:$B$80,$A15,Matriz!$I$2:$I$80,"No cumple")</f>
        <v>0</v>
      </c>
      <c r="F15" s="10" t="n">
        <f aca="false">COUNTIFS(Matriz!$B$2:$B$80,$A15,Matriz!$I$2:$I$80,"En desarrollo")</f>
        <v>0</v>
      </c>
      <c r="G15" s="10" t="n">
        <f aca="false">COUNTIFS(Matriz!$B$2:$B$80,$A15,Matriz!$I$2:$I$80,"Pendiente")</f>
        <v>4</v>
      </c>
      <c r="H15" s="10" t="n">
        <f aca="false">COUNTIFS(Matriz!$B$2:$B$80,$A15,Matriz!$I$2:$I$80,"N/A")</f>
        <v>0</v>
      </c>
      <c r="I15" s="11" t="n">
        <f aca="false">IF(B15-H15=0,"-",C15/(B15-H15))</f>
        <v>0</v>
      </c>
    </row>
    <row r="16" customFormat="false" ht="15" hidden="false" customHeight="false" outlineLevel="0" collapsed="false">
      <c r="A16" s="9" t="s">
        <v>47</v>
      </c>
      <c r="B16" s="10" t="n">
        <f aca="false">COUNTIF(Matriz!$B$2:$B$80,A16)</f>
        <v>3</v>
      </c>
      <c r="C16" s="10" t="n">
        <f aca="false">COUNTIFS(Matriz!$B$2:$B$80,$A16,Matriz!$I$2:$I$80,"Cumple")</f>
        <v>0</v>
      </c>
      <c r="D16" s="10" t="n">
        <f aca="false">COUNTIFS(Matriz!$B$2:$B$80,$A16,Matriz!$I$2:$I$80,"Cumple parcial")</f>
        <v>0</v>
      </c>
      <c r="E16" s="10" t="n">
        <f aca="false">COUNTIFS(Matriz!$B$2:$B$80,$A16,Matriz!$I$2:$I$80,"No cumple")</f>
        <v>0</v>
      </c>
      <c r="F16" s="10" t="n">
        <f aca="false">COUNTIFS(Matriz!$B$2:$B$80,$A16,Matriz!$I$2:$I$80,"En desarrollo")</f>
        <v>0</v>
      </c>
      <c r="G16" s="10" t="n">
        <f aca="false">COUNTIFS(Matriz!$B$2:$B$80,$A16,Matriz!$I$2:$I$80,"Pendiente")</f>
        <v>3</v>
      </c>
      <c r="H16" s="10" t="n">
        <f aca="false">COUNTIFS(Matriz!$B$2:$B$80,$A16,Matriz!$I$2:$I$80,"N/A")</f>
        <v>0</v>
      </c>
      <c r="I16" s="11" t="n">
        <f aca="false">IF(B16-H16=0,"-",C16/(B16-H16))</f>
        <v>0</v>
      </c>
    </row>
    <row r="17" customFormat="false" ht="15" hidden="false" customHeight="false" outlineLevel="0" collapsed="false">
      <c r="A17" s="9" t="s">
        <v>48</v>
      </c>
      <c r="B17" s="10" t="n">
        <f aca="false">COUNTIF(Matriz!$B$2:$B$80,A17)</f>
        <v>5</v>
      </c>
      <c r="C17" s="10" t="n">
        <f aca="false">COUNTIFS(Matriz!$B$2:$B$80,$A17,Matriz!$I$2:$I$80,"Cumple")</f>
        <v>0</v>
      </c>
      <c r="D17" s="10" t="n">
        <f aca="false">COUNTIFS(Matriz!$B$2:$B$80,$A17,Matriz!$I$2:$I$80,"Cumple parcial")</f>
        <v>0</v>
      </c>
      <c r="E17" s="10" t="n">
        <f aca="false">COUNTIFS(Matriz!$B$2:$B$80,$A17,Matriz!$I$2:$I$80,"No cumple")</f>
        <v>0</v>
      </c>
      <c r="F17" s="10" t="n">
        <f aca="false">COUNTIFS(Matriz!$B$2:$B$80,$A17,Matriz!$I$2:$I$80,"En desarrollo")</f>
        <v>0</v>
      </c>
      <c r="G17" s="10" t="n">
        <f aca="false">COUNTIFS(Matriz!$B$2:$B$80,$A17,Matriz!$I$2:$I$80,"Pendiente")</f>
        <v>5</v>
      </c>
      <c r="H17" s="10" t="n">
        <f aca="false">COUNTIFS(Matriz!$B$2:$B$80,$A17,Matriz!$I$2:$I$80,"N/A")</f>
        <v>0</v>
      </c>
      <c r="I17" s="11" t="n">
        <f aca="false">IF(B17-H17=0,"-",C17/(B17-H17))</f>
        <v>0</v>
      </c>
    </row>
    <row r="18" customFormat="false" ht="15" hidden="false" customHeight="false" outlineLevel="0" collapsed="false">
      <c r="A18" s="12" t="s">
        <v>49</v>
      </c>
      <c r="B18" s="13" t="n">
        <f aca="false">SUM(B5:B17)</f>
        <v>79</v>
      </c>
      <c r="C18" s="13" t="n">
        <f aca="false">SUM(C5:C17)</f>
        <v>0</v>
      </c>
      <c r="D18" s="13" t="n">
        <f aca="false">SUM(D5:D17)</f>
        <v>0</v>
      </c>
      <c r="E18" s="13" t="n">
        <f aca="false">SUM(E5:E17)</f>
        <v>0</v>
      </c>
      <c r="F18" s="13" t="n">
        <f aca="false">SUM(F5:F17)</f>
        <v>0</v>
      </c>
      <c r="G18" s="13" t="n">
        <f aca="false">SUM(G5:G17)</f>
        <v>79</v>
      </c>
      <c r="H18" s="13" t="n">
        <f aca="false">SUM(H5:H17)</f>
        <v>0</v>
      </c>
      <c r="I18" s="14" t="n">
        <f aca="false">IF(B18-H18=0,"-",C18/(B18-H18))</f>
        <v>0</v>
      </c>
    </row>
    <row r="19" customFormat="false" ht="15" hidden="false" customHeight="false" outlineLevel="0" collapsed="false">
      <c r="A19" s="12" t="s">
        <v>50</v>
      </c>
      <c r="B19" s="13" t="n">
        <f aca="false">COUNTIF(Matriz!$E$2:$E$80,"MVP")</f>
        <v>66</v>
      </c>
      <c r="C19" s="13" t="n">
        <f aca="false">COUNTIFS(Matriz!$E$2:$E$80,"MVP",Matriz!$I$2:$I$80,"Cumple")</f>
        <v>0</v>
      </c>
      <c r="D19" s="13" t="n">
        <f aca="false">COUNTIFS(Matriz!$E$2:$E$80,"MVP",Matriz!$I$2:$I$80,"Cumple parcial")</f>
        <v>0</v>
      </c>
      <c r="E19" s="13" t="n">
        <f aca="false">COUNTIFS(Matriz!$E$2:$E$80,"MVP",Matriz!$I$2:$I$80,"No cumple")</f>
        <v>0</v>
      </c>
      <c r="F19" s="13" t="n">
        <f aca="false">COUNTIFS(Matriz!$E$2:$E$80,"MVP",Matriz!$I$2:$I$80,"En desarrollo")</f>
        <v>0</v>
      </c>
      <c r="G19" s="13" t="n">
        <f aca="false">COUNTIFS(Matriz!$E$2:$E$80,"MVP",Matriz!$I$2:$I$80,"Pendiente")</f>
        <v>66</v>
      </c>
      <c r="H19" s="13" t="n">
        <f aca="false">COUNTIFS(Matriz!$E$2:$E$80,"MVP",Matriz!$I$2:$I$80,"N/A")</f>
        <v>0</v>
      </c>
      <c r="I19" s="14" t="n">
        <f aca="false">IF(B19-H19=0,"-",C19/(B19-H19))</f>
        <v>0</v>
      </c>
    </row>
    <row r="21" customFormat="false" ht="15" hidden="false" customHeight="false" outlineLevel="0" collapsed="false">
      <c r="A21" s="2" t="s">
        <v>51</v>
      </c>
      <c r="B21" s="15" t="n">
        <f aca="false">COUNTBLANK('Decisiones pendientes'!F2:F16)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8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62"/>
    <col collapsed="false" customWidth="true" hidden="false" outlineLevel="0" max="8" min="8" style="0" width="28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40"/>
  </cols>
  <sheetData>
    <row r="1" customFormat="false" ht="30" hidden="false" customHeight="true" outlineLevel="0" collapsed="false">
      <c r="A1" s="8" t="s">
        <v>16</v>
      </c>
      <c r="B1" s="8" t="s">
        <v>28</v>
      </c>
      <c r="C1" s="8" t="s">
        <v>52</v>
      </c>
      <c r="D1" s="8" t="s">
        <v>3</v>
      </c>
      <c r="E1" s="8" t="s">
        <v>5</v>
      </c>
      <c r="F1" s="8" t="s">
        <v>53</v>
      </c>
      <c r="G1" s="8" t="s">
        <v>54</v>
      </c>
      <c r="H1" s="8" t="s">
        <v>55</v>
      </c>
      <c r="I1" s="8" t="s">
        <v>17</v>
      </c>
      <c r="J1" s="8" t="s">
        <v>18</v>
      </c>
      <c r="K1" s="8" t="s">
        <v>19</v>
      </c>
      <c r="L1" s="8" t="s">
        <v>20</v>
      </c>
    </row>
    <row r="2" customFormat="false" ht="73.5" hidden="false" customHeight="true" outlineLevel="0" collapsed="false">
      <c r="A2" s="16" t="s">
        <v>56</v>
      </c>
      <c r="B2" s="6" t="s">
        <v>36</v>
      </c>
      <c r="C2" s="6" t="s">
        <v>57</v>
      </c>
      <c r="D2" s="6" t="s">
        <v>58</v>
      </c>
      <c r="E2" s="17" t="s">
        <v>59</v>
      </c>
      <c r="F2" s="6" t="s">
        <v>60</v>
      </c>
      <c r="G2" s="6" t="s">
        <v>61</v>
      </c>
      <c r="H2" s="6" t="s">
        <v>62</v>
      </c>
      <c r="I2" s="18" t="s">
        <v>33</v>
      </c>
      <c r="J2" s="19"/>
      <c r="K2" s="20"/>
      <c r="L2" s="19"/>
    </row>
    <row r="3" customFormat="false" ht="60" hidden="false" customHeight="true" outlineLevel="0" collapsed="false">
      <c r="A3" s="16" t="s">
        <v>63</v>
      </c>
      <c r="B3" s="6" t="s">
        <v>36</v>
      </c>
      <c r="C3" s="6" t="s">
        <v>64</v>
      </c>
      <c r="D3" s="6" t="s">
        <v>65</v>
      </c>
      <c r="E3" s="17" t="s">
        <v>59</v>
      </c>
      <c r="F3" s="6" t="s">
        <v>60</v>
      </c>
      <c r="G3" s="6" t="s">
        <v>66</v>
      </c>
      <c r="H3" s="6" t="s">
        <v>67</v>
      </c>
      <c r="I3" s="18" t="s">
        <v>33</v>
      </c>
      <c r="J3" s="19"/>
      <c r="K3" s="20"/>
      <c r="L3" s="19"/>
    </row>
    <row r="4" customFormat="false" ht="99.75" hidden="false" customHeight="true" outlineLevel="0" collapsed="false">
      <c r="A4" s="16" t="s">
        <v>68</v>
      </c>
      <c r="B4" s="6" t="s">
        <v>37</v>
      </c>
      <c r="C4" s="6" t="s">
        <v>69</v>
      </c>
      <c r="D4" s="6" t="s">
        <v>70</v>
      </c>
      <c r="E4" s="17" t="s">
        <v>59</v>
      </c>
      <c r="F4" s="6" t="s">
        <v>71</v>
      </c>
      <c r="G4" s="6" t="s">
        <v>72</v>
      </c>
      <c r="H4" s="6" t="s">
        <v>73</v>
      </c>
      <c r="I4" s="18" t="s">
        <v>33</v>
      </c>
      <c r="J4" s="19"/>
      <c r="K4" s="20"/>
      <c r="L4" s="19"/>
    </row>
    <row r="5" customFormat="false" ht="73.5" hidden="false" customHeight="true" outlineLevel="0" collapsed="false">
      <c r="A5" s="16" t="s">
        <v>74</v>
      </c>
      <c r="B5" s="6" t="s">
        <v>37</v>
      </c>
      <c r="C5" s="6" t="s">
        <v>75</v>
      </c>
      <c r="D5" s="6" t="s">
        <v>70</v>
      </c>
      <c r="E5" s="17" t="s">
        <v>59</v>
      </c>
      <c r="F5" s="6" t="s">
        <v>76</v>
      </c>
      <c r="G5" s="6" t="s">
        <v>77</v>
      </c>
      <c r="H5" s="6" t="s">
        <v>78</v>
      </c>
      <c r="I5" s="18" t="s">
        <v>33</v>
      </c>
      <c r="J5" s="19"/>
      <c r="K5" s="20"/>
      <c r="L5" s="19"/>
    </row>
    <row r="6" customFormat="false" ht="73.5" hidden="false" customHeight="true" outlineLevel="0" collapsed="false">
      <c r="A6" s="16" t="s">
        <v>79</v>
      </c>
      <c r="B6" s="6" t="s">
        <v>37</v>
      </c>
      <c r="C6" s="6" t="s">
        <v>80</v>
      </c>
      <c r="D6" s="6" t="s">
        <v>81</v>
      </c>
      <c r="E6" s="17" t="s">
        <v>59</v>
      </c>
      <c r="F6" s="6" t="s">
        <v>82</v>
      </c>
      <c r="G6" s="6" t="s">
        <v>83</v>
      </c>
      <c r="H6" s="6" t="s">
        <v>84</v>
      </c>
      <c r="I6" s="18" t="s">
        <v>33</v>
      </c>
      <c r="J6" s="19"/>
      <c r="K6" s="20"/>
      <c r="L6" s="19"/>
    </row>
    <row r="7" customFormat="false" ht="99.75" hidden="false" customHeight="true" outlineLevel="0" collapsed="false">
      <c r="A7" s="16" t="s">
        <v>85</v>
      </c>
      <c r="B7" s="6" t="s">
        <v>37</v>
      </c>
      <c r="C7" s="6" t="s">
        <v>86</v>
      </c>
      <c r="D7" s="6" t="s">
        <v>87</v>
      </c>
      <c r="E7" s="17" t="s">
        <v>59</v>
      </c>
      <c r="F7" s="6" t="s">
        <v>88</v>
      </c>
      <c r="G7" s="6" t="s">
        <v>89</v>
      </c>
      <c r="H7" s="6" t="s">
        <v>90</v>
      </c>
      <c r="I7" s="18" t="s">
        <v>33</v>
      </c>
      <c r="J7" s="19"/>
      <c r="K7" s="20"/>
      <c r="L7" s="19"/>
    </row>
    <row r="8" customFormat="false" ht="30" hidden="false" customHeight="true" outlineLevel="0" collapsed="false">
      <c r="A8" s="16" t="s">
        <v>91</v>
      </c>
      <c r="B8" s="6" t="s">
        <v>37</v>
      </c>
      <c r="C8" s="6" t="s">
        <v>92</v>
      </c>
      <c r="D8" s="6" t="s">
        <v>93</v>
      </c>
      <c r="E8" s="17" t="s">
        <v>94</v>
      </c>
      <c r="F8" s="6" t="s">
        <v>71</v>
      </c>
      <c r="G8" s="6" t="s">
        <v>95</v>
      </c>
      <c r="H8" s="6" t="s">
        <v>96</v>
      </c>
      <c r="I8" s="18" t="s">
        <v>33</v>
      </c>
      <c r="J8" s="19"/>
      <c r="K8" s="20"/>
      <c r="L8" s="19"/>
    </row>
    <row r="9" customFormat="false" ht="48" hidden="false" customHeight="true" outlineLevel="0" collapsed="false">
      <c r="A9" s="16" t="s">
        <v>97</v>
      </c>
      <c r="B9" s="6" t="s">
        <v>37</v>
      </c>
      <c r="C9" s="6" t="s">
        <v>98</v>
      </c>
      <c r="D9" s="6" t="s">
        <v>93</v>
      </c>
      <c r="E9" s="17" t="s">
        <v>94</v>
      </c>
      <c r="F9" s="6" t="s">
        <v>60</v>
      </c>
      <c r="G9" s="6" t="s">
        <v>99</v>
      </c>
      <c r="H9" s="6" t="s">
        <v>100</v>
      </c>
      <c r="I9" s="18" t="s">
        <v>33</v>
      </c>
      <c r="J9" s="19"/>
      <c r="K9" s="20"/>
      <c r="L9" s="19"/>
    </row>
    <row r="10" customFormat="false" ht="48" hidden="false" customHeight="true" outlineLevel="0" collapsed="false">
      <c r="A10" s="16" t="s">
        <v>101</v>
      </c>
      <c r="B10" s="6" t="s">
        <v>38</v>
      </c>
      <c r="C10" s="6" t="s">
        <v>102</v>
      </c>
      <c r="D10" s="6" t="s">
        <v>81</v>
      </c>
      <c r="E10" s="17" t="s">
        <v>59</v>
      </c>
      <c r="F10" s="6" t="s">
        <v>103</v>
      </c>
      <c r="G10" s="6" t="s">
        <v>104</v>
      </c>
      <c r="H10" s="6" t="s">
        <v>105</v>
      </c>
      <c r="I10" s="18" t="s">
        <v>33</v>
      </c>
      <c r="J10" s="19"/>
      <c r="K10" s="20"/>
      <c r="L10" s="19"/>
    </row>
    <row r="11" customFormat="false" ht="60" hidden="false" customHeight="true" outlineLevel="0" collapsed="false">
      <c r="A11" s="16" t="s">
        <v>106</v>
      </c>
      <c r="B11" s="6" t="s">
        <v>38</v>
      </c>
      <c r="C11" s="6" t="s">
        <v>107</v>
      </c>
      <c r="D11" s="6" t="s">
        <v>108</v>
      </c>
      <c r="E11" s="17" t="s">
        <v>59</v>
      </c>
      <c r="F11" s="6" t="s">
        <v>109</v>
      </c>
      <c r="G11" s="6" t="s">
        <v>110</v>
      </c>
      <c r="H11" s="6" t="s">
        <v>111</v>
      </c>
      <c r="I11" s="18" t="s">
        <v>33</v>
      </c>
      <c r="J11" s="19"/>
      <c r="K11" s="20"/>
      <c r="L11" s="19"/>
    </row>
    <row r="12" customFormat="false" ht="48" hidden="false" customHeight="true" outlineLevel="0" collapsed="false">
      <c r="A12" s="16" t="s">
        <v>112</v>
      </c>
      <c r="B12" s="6" t="s">
        <v>38</v>
      </c>
      <c r="C12" s="6" t="s">
        <v>113</v>
      </c>
      <c r="D12" s="6" t="s">
        <v>108</v>
      </c>
      <c r="E12" s="17" t="s">
        <v>59</v>
      </c>
      <c r="F12" s="6" t="s">
        <v>103</v>
      </c>
      <c r="G12" s="6" t="s">
        <v>114</v>
      </c>
      <c r="H12" s="6" t="s">
        <v>105</v>
      </c>
      <c r="I12" s="18" t="s">
        <v>33</v>
      </c>
      <c r="J12" s="19"/>
      <c r="K12" s="20"/>
      <c r="L12" s="19"/>
    </row>
    <row r="13" customFormat="false" ht="99.75" hidden="false" customHeight="true" outlineLevel="0" collapsed="false">
      <c r="A13" s="16" t="s">
        <v>115</v>
      </c>
      <c r="B13" s="6" t="s">
        <v>38</v>
      </c>
      <c r="C13" s="6" t="s">
        <v>116</v>
      </c>
      <c r="D13" s="6" t="s">
        <v>81</v>
      </c>
      <c r="E13" s="17" t="s">
        <v>59</v>
      </c>
      <c r="F13" s="6" t="s">
        <v>117</v>
      </c>
      <c r="G13" s="6" t="s">
        <v>118</v>
      </c>
      <c r="H13" s="6" t="s">
        <v>119</v>
      </c>
      <c r="I13" s="18" t="s">
        <v>33</v>
      </c>
      <c r="J13" s="19"/>
      <c r="K13" s="20"/>
      <c r="L13" s="19"/>
    </row>
    <row r="14" customFormat="false" ht="60" hidden="false" customHeight="true" outlineLevel="0" collapsed="false">
      <c r="A14" s="16" t="s">
        <v>120</v>
      </c>
      <c r="B14" s="6" t="s">
        <v>38</v>
      </c>
      <c r="C14" s="6" t="s">
        <v>121</v>
      </c>
      <c r="D14" s="6" t="s">
        <v>108</v>
      </c>
      <c r="E14" s="17" t="s">
        <v>59</v>
      </c>
      <c r="F14" s="6" t="s">
        <v>60</v>
      </c>
      <c r="G14" s="6" t="s">
        <v>122</v>
      </c>
      <c r="H14" s="6" t="s">
        <v>123</v>
      </c>
      <c r="I14" s="18" t="s">
        <v>33</v>
      </c>
      <c r="J14" s="19"/>
      <c r="K14" s="20"/>
      <c r="L14" s="19"/>
    </row>
    <row r="15" customFormat="false" ht="73.5" hidden="false" customHeight="true" outlineLevel="0" collapsed="false">
      <c r="A15" s="16" t="s">
        <v>124</v>
      </c>
      <c r="B15" s="6" t="s">
        <v>38</v>
      </c>
      <c r="C15" s="6" t="s">
        <v>125</v>
      </c>
      <c r="D15" s="6" t="s">
        <v>108</v>
      </c>
      <c r="E15" s="17" t="s">
        <v>59</v>
      </c>
      <c r="F15" s="6" t="s">
        <v>71</v>
      </c>
      <c r="G15" s="6" t="s">
        <v>126</v>
      </c>
      <c r="H15" s="6" t="s">
        <v>127</v>
      </c>
      <c r="I15" s="18" t="s">
        <v>33</v>
      </c>
      <c r="J15" s="19"/>
      <c r="K15" s="20"/>
      <c r="L15" s="19"/>
    </row>
    <row r="16" customFormat="false" ht="48" hidden="false" customHeight="true" outlineLevel="0" collapsed="false">
      <c r="A16" s="16" t="s">
        <v>128</v>
      </c>
      <c r="B16" s="6" t="s">
        <v>38</v>
      </c>
      <c r="C16" s="6" t="s">
        <v>129</v>
      </c>
      <c r="D16" s="6" t="s">
        <v>108</v>
      </c>
      <c r="E16" s="17" t="s">
        <v>94</v>
      </c>
      <c r="F16" s="6" t="s">
        <v>130</v>
      </c>
      <c r="G16" s="6" t="s">
        <v>131</v>
      </c>
      <c r="H16" s="6" t="s">
        <v>132</v>
      </c>
      <c r="I16" s="18" t="s">
        <v>33</v>
      </c>
      <c r="J16" s="19"/>
      <c r="K16" s="20"/>
      <c r="L16" s="19"/>
    </row>
    <row r="17" customFormat="false" ht="73.5" hidden="false" customHeight="true" outlineLevel="0" collapsed="false">
      <c r="A17" s="16" t="s">
        <v>133</v>
      </c>
      <c r="B17" s="6" t="s">
        <v>39</v>
      </c>
      <c r="C17" s="6" t="s">
        <v>134</v>
      </c>
      <c r="D17" s="6" t="s">
        <v>135</v>
      </c>
      <c r="E17" s="17" t="s">
        <v>59</v>
      </c>
      <c r="F17" s="6" t="s">
        <v>103</v>
      </c>
      <c r="G17" s="6" t="s">
        <v>136</v>
      </c>
      <c r="H17" s="6" t="s">
        <v>137</v>
      </c>
      <c r="I17" s="18" t="s">
        <v>33</v>
      </c>
      <c r="J17" s="19"/>
      <c r="K17" s="20"/>
      <c r="L17" s="19"/>
    </row>
    <row r="18" customFormat="false" ht="60" hidden="false" customHeight="true" outlineLevel="0" collapsed="false">
      <c r="A18" s="16" t="s">
        <v>138</v>
      </c>
      <c r="B18" s="6" t="s">
        <v>39</v>
      </c>
      <c r="C18" s="6" t="s">
        <v>139</v>
      </c>
      <c r="D18" s="6" t="s">
        <v>140</v>
      </c>
      <c r="E18" s="17" t="s">
        <v>59</v>
      </c>
      <c r="F18" s="6" t="s">
        <v>141</v>
      </c>
      <c r="G18" s="6" t="s">
        <v>142</v>
      </c>
      <c r="H18" s="6" t="s">
        <v>105</v>
      </c>
      <c r="I18" s="18" t="s">
        <v>33</v>
      </c>
      <c r="J18" s="19"/>
      <c r="K18" s="20"/>
      <c r="L18" s="19"/>
    </row>
    <row r="19" customFormat="false" ht="99.75" hidden="false" customHeight="true" outlineLevel="0" collapsed="false">
      <c r="A19" s="16" t="s">
        <v>143</v>
      </c>
      <c r="B19" s="6" t="s">
        <v>39</v>
      </c>
      <c r="C19" s="6" t="s">
        <v>144</v>
      </c>
      <c r="D19" s="6" t="s">
        <v>145</v>
      </c>
      <c r="E19" s="17" t="s">
        <v>59</v>
      </c>
      <c r="F19" s="6" t="s">
        <v>146</v>
      </c>
      <c r="G19" s="6" t="s">
        <v>147</v>
      </c>
      <c r="H19" s="6" t="s">
        <v>148</v>
      </c>
      <c r="I19" s="18" t="s">
        <v>33</v>
      </c>
      <c r="J19" s="19"/>
      <c r="K19" s="20"/>
      <c r="L19" s="19"/>
    </row>
    <row r="20" customFormat="false" ht="48" hidden="false" customHeight="true" outlineLevel="0" collapsed="false">
      <c r="A20" s="16" t="s">
        <v>149</v>
      </c>
      <c r="B20" s="6" t="s">
        <v>39</v>
      </c>
      <c r="C20" s="6" t="s">
        <v>150</v>
      </c>
      <c r="D20" s="6" t="s">
        <v>151</v>
      </c>
      <c r="E20" s="17" t="s">
        <v>59</v>
      </c>
      <c r="F20" s="6" t="s">
        <v>71</v>
      </c>
      <c r="G20" s="6" t="s">
        <v>152</v>
      </c>
      <c r="H20" s="6" t="s">
        <v>105</v>
      </c>
      <c r="I20" s="18" t="s">
        <v>33</v>
      </c>
      <c r="J20" s="19"/>
      <c r="K20" s="20"/>
      <c r="L20" s="19"/>
    </row>
    <row r="21" customFormat="false" ht="73.5" hidden="false" customHeight="true" outlineLevel="0" collapsed="false">
      <c r="A21" s="16" t="s">
        <v>153</v>
      </c>
      <c r="B21" s="6" t="s">
        <v>39</v>
      </c>
      <c r="C21" s="6" t="s">
        <v>154</v>
      </c>
      <c r="D21" s="6" t="s">
        <v>155</v>
      </c>
      <c r="E21" s="17" t="s">
        <v>59</v>
      </c>
      <c r="F21" s="6" t="s">
        <v>71</v>
      </c>
      <c r="G21" s="6" t="s">
        <v>156</v>
      </c>
      <c r="H21" s="6" t="s">
        <v>157</v>
      </c>
      <c r="I21" s="18" t="s">
        <v>33</v>
      </c>
      <c r="J21" s="19"/>
      <c r="K21" s="20"/>
      <c r="L21" s="19"/>
    </row>
    <row r="22" customFormat="false" ht="48" hidden="false" customHeight="true" outlineLevel="0" collapsed="false">
      <c r="A22" s="16" t="s">
        <v>158</v>
      </c>
      <c r="B22" s="6" t="s">
        <v>39</v>
      </c>
      <c r="C22" s="6" t="s">
        <v>159</v>
      </c>
      <c r="D22" s="6" t="s">
        <v>155</v>
      </c>
      <c r="E22" s="17" t="s">
        <v>59</v>
      </c>
      <c r="F22" s="6" t="s">
        <v>160</v>
      </c>
      <c r="G22" s="6" t="s">
        <v>161</v>
      </c>
      <c r="H22" s="6" t="s">
        <v>157</v>
      </c>
      <c r="I22" s="18" t="s">
        <v>33</v>
      </c>
      <c r="J22" s="19"/>
      <c r="K22" s="20"/>
      <c r="L22" s="19"/>
    </row>
    <row r="23" customFormat="false" ht="48" hidden="false" customHeight="true" outlineLevel="0" collapsed="false">
      <c r="A23" s="16" t="s">
        <v>162</v>
      </c>
      <c r="B23" s="6" t="s">
        <v>39</v>
      </c>
      <c r="C23" s="6" t="s">
        <v>163</v>
      </c>
      <c r="D23" s="6" t="s">
        <v>164</v>
      </c>
      <c r="E23" s="17" t="s">
        <v>94</v>
      </c>
      <c r="F23" s="6" t="s">
        <v>160</v>
      </c>
      <c r="G23" s="6" t="s">
        <v>165</v>
      </c>
      <c r="H23" s="6" t="s">
        <v>166</v>
      </c>
      <c r="I23" s="18" t="s">
        <v>33</v>
      </c>
      <c r="J23" s="19"/>
      <c r="K23" s="20"/>
      <c r="L23" s="19"/>
    </row>
    <row r="24" customFormat="false" ht="73.5" hidden="false" customHeight="true" outlineLevel="0" collapsed="false">
      <c r="A24" s="16" t="s">
        <v>167</v>
      </c>
      <c r="B24" s="6" t="s">
        <v>39</v>
      </c>
      <c r="C24" s="6" t="s">
        <v>168</v>
      </c>
      <c r="D24" s="6" t="s">
        <v>155</v>
      </c>
      <c r="E24" s="17" t="s">
        <v>59</v>
      </c>
      <c r="F24" s="6" t="s">
        <v>71</v>
      </c>
      <c r="G24" s="6" t="s">
        <v>169</v>
      </c>
      <c r="H24" s="6" t="s">
        <v>105</v>
      </c>
      <c r="I24" s="18" t="s">
        <v>33</v>
      </c>
      <c r="J24" s="19"/>
      <c r="K24" s="20"/>
      <c r="L24" s="19"/>
    </row>
    <row r="25" customFormat="false" ht="73.5" hidden="false" customHeight="true" outlineLevel="0" collapsed="false">
      <c r="A25" s="16" t="s">
        <v>21</v>
      </c>
      <c r="B25" s="6" t="s">
        <v>39</v>
      </c>
      <c r="C25" s="6" t="s">
        <v>170</v>
      </c>
      <c r="D25" s="6" t="s">
        <v>155</v>
      </c>
      <c r="E25" s="17" t="s">
        <v>59</v>
      </c>
      <c r="F25" s="6" t="s">
        <v>171</v>
      </c>
      <c r="G25" s="6" t="s">
        <v>172</v>
      </c>
      <c r="H25" s="6" t="s">
        <v>173</v>
      </c>
      <c r="I25" s="18" t="s">
        <v>33</v>
      </c>
      <c r="J25" s="19"/>
      <c r="K25" s="20"/>
      <c r="L25" s="19"/>
    </row>
    <row r="26" customFormat="false" ht="48" hidden="false" customHeight="true" outlineLevel="0" collapsed="false">
      <c r="A26" s="16" t="s">
        <v>174</v>
      </c>
      <c r="B26" s="6" t="s">
        <v>39</v>
      </c>
      <c r="C26" s="6" t="s">
        <v>175</v>
      </c>
      <c r="D26" s="6" t="s">
        <v>164</v>
      </c>
      <c r="E26" s="17" t="s">
        <v>59</v>
      </c>
      <c r="F26" s="6" t="s">
        <v>146</v>
      </c>
      <c r="G26" s="6" t="s">
        <v>176</v>
      </c>
      <c r="H26" s="6" t="s">
        <v>105</v>
      </c>
      <c r="I26" s="18" t="s">
        <v>33</v>
      </c>
      <c r="J26" s="19"/>
      <c r="K26" s="20"/>
      <c r="L26" s="19"/>
    </row>
    <row r="27" customFormat="false" ht="48" hidden="false" customHeight="true" outlineLevel="0" collapsed="false">
      <c r="A27" s="16" t="s">
        <v>177</v>
      </c>
      <c r="B27" s="6" t="s">
        <v>39</v>
      </c>
      <c r="C27" s="6" t="s">
        <v>178</v>
      </c>
      <c r="D27" s="6" t="s">
        <v>179</v>
      </c>
      <c r="E27" s="17" t="s">
        <v>59</v>
      </c>
      <c r="F27" s="6" t="s">
        <v>171</v>
      </c>
      <c r="G27" s="6" t="s">
        <v>180</v>
      </c>
      <c r="H27" s="6" t="s">
        <v>181</v>
      </c>
      <c r="I27" s="18" t="s">
        <v>33</v>
      </c>
      <c r="J27" s="19"/>
      <c r="K27" s="20"/>
      <c r="L27" s="19"/>
    </row>
    <row r="28" customFormat="false" ht="48" hidden="false" customHeight="true" outlineLevel="0" collapsed="false">
      <c r="A28" s="16" t="s">
        <v>182</v>
      </c>
      <c r="B28" s="6" t="s">
        <v>40</v>
      </c>
      <c r="C28" s="6" t="s">
        <v>183</v>
      </c>
      <c r="D28" s="6" t="s">
        <v>184</v>
      </c>
      <c r="E28" s="17" t="s">
        <v>59</v>
      </c>
      <c r="F28" s="6" t="s">
        <v>141</v>
      </c>
      <c r="G28" s="6" t="s">
        <v>185</v>
      </c>
      <c r="H28" s="6" t="s">
        <v>186</v>
      </c>
      <c r="I28" s="18" t="s">
        <v>33</v>
      </c>
      <c r="J28" s="19"/>
      <c r="K28" s="20"/>
      <c r="L28" s="19"/>
    </row>
    <row r="29" customFormat="false" ht="60" hidden="false" customHeight="true" outlineLevel="0" collapsed="false">
      <c r="A29" s="16" t="s">
        <v>187</v>
      </c>
      <c r="B29" s="6" t="s">
        <v>40</v>
      </c>
      <c r="C29" s="6" t="s">
        <v>188</v>
      </c>
      <c r="D29" s="6" t="s">
        <v>155</v>
      </c>
      <c r="E29" s="17" t="s">
        <v>59</v>
      </c>
      <c r="F29" s="6" t="s">
        <v>189</v>
      </c>
      <c r="G29" s="6" t="s">
        <v>190</v>
      </c>
      <c r="H29" s="6" t="s">
        <v>191</v>
      </c>
      <c r="I29" s="18" t="s">
        <v>33</v>
      </c>
      <c r="J29" s="19"/>
      <c r="K29" s="20"/>
      <c r="L29" s="19"/>
    </row>
    <row r="30" customFormat="false" ht="30" hidden="false" customHeight="true" outlineLevel="0" collapsed="false">
      <c r="A30" s="16" t="s">
        <v>192</v>
      </c>
      <c r="B30" s="6" t="s">
        <v>40</v>
      </c>
      <c r="C30" s="6" t="s">
        <v>193</v>
      </c>
      <c r="D30" s="6" t="s">
        <v>164</v>
      </c>
      <c r="E30" s="17" t="s">
        <v>59</v>
      </c>
      <c r="F30" s="6" t="s">
        <v>60</v>
      </c>
      <c r="G30" s="6" t="s">
        <v>194</v>
      </c>
      <c r="H30" s="6" t="s">
        <v>195</v>
      </c>
      <c r="I30" s="18" t="s">
        <v>33</v>
      </c>
      <c r="J30" s="19"/>
      <c r="K30" s="20"/>
      <c r="L30" s="19"/>
    </row>
    <row r="31" customFormat="false" ht="33.75" hidden="false" customHeight="true" outlineLevel="0" collapsed="false">
      <c r="A31" s="16" t="s">
        <v>196</v>
      </c>
      <c r="B31" s="6" t="s">
        <v>40</v>
      </c>
      <c r="C31" s="6" t="s">
        <v>197</v>
      </c>
      <c r="D31" s="6" t="s">
        <v>164</v>
      </c>
      <c r="E31" s="17" t="s">
        <v>59</v>
      </c>
      <c r="F31" s="6" t="s">
        <v>141</v>
      </c>
      <c r="G31" s="6" t="s">
        <v>198</v>
      </c>
      <c r="H31" s="6" t="s">
        <v>186</v>
      </c>
      <c r="I31" s="18" t="s">
        <v>33</v>
      </c>
      <c r="J31" s="19"/>
      <c r="K31" s="20"/>
      <c r="L31" s="19"/>
    </row>
    <row r="32" customFormat="false" ht="73.5" hidden="false" customHeight="true" outlineLevel="0" collapsed="false">
      <c r="A32" s="16" t="s">
        <v>199</v>
      </c>
      <c r="B32" s="6" t="s">
        <v>40</v>
      </c>
      <c r="C32" s="6" t="s">
        <v>200</v>
      </c>
      <c r="D32" s="6" t="s">
        <v>164</v>
      </c>
      <c r="E32" s="17" t="s">
        <v>59</v>
      </c>
      <c r="F32" s="6" t="s">
        <v>189</v>
      </c>
      <c r="G32" s="6" t="s">
        <v>201</v>
      </c>
      <c r="H32" s="6" t="s">
        <v>202</v>
      </c>
      <c r="I32" s="18" t="s">
        <v>33</v>
      </c>
      <c r="J32" s="19"/>
      <c r="K32" s="20"/>
      <c r="L32" s="19"/>
    </row>
    <row r="33" customFormat="false" ht="48" hidden="false" customHeight="true" outlineLevel="0" collapsed="false">
      <c r="A33" s="16" t="s">
        <v>203</v>
      </c>
      <c r="B33" s="6" t="s">
        <v>40</v>
      </c>
      <c r="C33" s="6" t="s">
        <v>204</v>
      </c>
      <c r="D33" s="6" t="s">
        <v>164</v>
      </c>
      <c r="E33" s="17" t="s">
        <v>59</v>
      </c>
      <c r="F33" s="6" t="s">
        <v>205</v>
      </c>
      <c r="G33" s="6" t="s">
        <v>206</v>
      </c>
      <c r="H33" s="6" t="s">
        <v>207</v>
      </c>
      <c r="I33" s="18" t="s">
        <v>33</v>
      </c>
      <c r="J33" s="19"/>
      <c r="K33" s="20"/>
      <c r="L33" s="19"/>
    </row>
    <row r="34" customFormat="false" ht="48" hidden="false" customHeight="true" outlineLevel="0" collapsed="false">
      <c r="A34" s="16" t="s">
        <v>208</v>
      </c>
      <c r="B34" s="6" t="s">
        <v>40</v>
      </c>
      <c r="C34" s="6" t="s">
        <v>209</v>
      </c>
      <c r="D34" s="6" t="s">
        <v>164</v>
      </c>
      <c r="E34" s="17" t="s">
        <v>59</v>
      </c>
      <c r="F34" s="6" t="s">
        <v>141</v>
      </c>
      <c r="G34" s="6" t="s">
        <v>210</v>
      </c>
      <c r="H34" s="6" t="s">
        <v>186</v>
      </c>
      <c r="I34" s="18" t="s">
        <v>33</v>
      </c>
      <c r="J34" s="19"/>
      <c r="K34" s="20"/>
      <c r="L34" s="19"/>
    </row>
    <row r="35" customFormat="false" ht="48" hidden="false" customHeight="true" outlineLevel="0" collapsed="false">
      <c r="A35" s="16" t="s">
        <v>211</v>
      </c>
      <c r="B35" s="6" t="s">
        <v>40</v>
      </c>
      <c r="C35" s="6" t="s">
        <v>212</v>
      </c>
      <c r="D35" s="6" t="s">
        <v>164</v>
      </c>
      <c r="E35" s="17" t="s">
        <v>59</v>
      </c>
      <c r="F35" s="6" t="s">
        <v>189</v>
      </c>
      <c r="G35" s="6" t="s">
        <v>213</v>
      </c>
      <c r="H35" s="6" t="s">
        <v>214</v>
      </c>
      <c r="I35" s="18" t="s">
        <v>33</v>
      </c>
      <c r="J35" s="19"/>
      <c r="K35" s="20"/>
      <c r="L35" s="19"/>
    </row>
    <row r="36" customFormat="false" ht="60" hidden="false" customHeight="true" outlineLevel="0" collapsed="false">
      <c r="A36" s="16" t="s">
        <v>215</v>
      </c>
      <c r="B36" s="6" t="s">
        <v>41</v>
      </c>
      <c r="C36" s="6" t="s">
        <v>216</v>
      </c>
      <c r="D36" s="6" t="s">
        <v>217</v>
      </c>
      <c r="E36" s="17" t="s">
        <v>59</v>
      </c>
      <c r="F36" s="6" t="s">
        <v>71</v>
      </c>
      <c r="G36" s="6" t="s">
        <v>218</v>
      </c>
      <c r="H36" s="6" t="s">
        <v>105</v>
      </c>
      <c r="I36" s="18" t="s">
        <v>33</v>
      </c>
      <c r="J36" s="19"/>
      <c r="K36" s="20"/>
      <c r="L36" s="19"/>
    </row>
    <row r="37" customFormat="false" ht="48" hidden="false" customHeight="true" outlineLevel="0" collapsed="false">
      <c r="A37" s="16" t="s">
        <v>219</v>
      </c>
      <c r="B37" s="6" t="s">
        <v>41</v>
      </c>
      <c r="C37" s="6" t="s">
        <v>220</v>
      </c>
      <c r="D37" s="6" t="s">
        <v>151</v>
      </c>
      <c r="E37" s="17" t="s">
        <v>59</v>
      </c>
      <c r="F37" s="6" t="s">
        <v>71</v>
      </c>
      <c r="G37" s="6" t="s">
        <v>221</v>
      </c>
      <c r="H37" s="6" t="s">
        <v>105</v>
      </c>
      <c r="I37" s="18" t="s">
        <v>33</v>
      </c>
      <c r="J37" s="19"/>
      <c r="K37" s="20"/>
      <c r="L37" s="19"/>
    </row>
    <row r="38" customFormat="false" ht="60" hidden="false" customHeight="true" outlineLevel="0" collapsed="false">
      <c r="A38" s="16" t="s">
        <v>222</v>
      </c>
      <c r="B38" s="6" t="s">
        <v>41</v>
      </c>
      <c r="C38" s="6" t="s">
        <v>223</v>
      </c>
      <c r="D38" s="6" t="s">
        <v>224</v>
      </c>
      <c r="E38" s="17" t="s">
        <v>59</v>
      </c>
      <c r="F38" s="6" t="s">
        <v>160</v>
      </c>
      <c r="G38" s="6" t="s">
        <v>225</v>
      </c>
      <c r="H38" s="6" t="s">
        <v>226</v>
      </c>
      <c r="I38" s="18" t="s">
        <v>33</v>
      </c>
      <c r="J38" s="19"/>
      <c r="K38" s="20"/>
      <c r="L38" s="19"/>
    </row>
    <row r="39" customFormat="false" ht="48" hidden="false" customHeight="true" outlineLevel="0" collapsed="false">
      <c r="A39" s="16" t="s">
        <v>227</v>
      </c>
      <c r="B39" s="6" t="s">
        <v>41</v>
      </c>
      <c r="C39" s="6" t="s">
        <v>228</v>
      </c>
      <c r="D39" s="6" t="s">
        <v>164</v>
      </c>
      <c r="E39" s="17" t="s">
        <v>59</v>
      </c>
      <c r="F39" s="6" t="s">
        <v>71</v>
      </c>
      <c r="G39" s="6" t="s">
        <v>229</v>
      </c>
      <c r="H39" s="6" t="s">
        <v>230</v>
      </c>
      <c r="I39" s="18" t="s">
        <v>33</v>
      </c>
      <c r="J39" s="19"/>
      <c r="K39" s="20"/>
      <c r="L39" s="19"/>
    </row>
    <row r="40" customFormat="false" ht="48" hidden="false" customHeight="true" outlineLevel="0" collapsed="false">
      <c r="A40" s="16" t="s">
        <v>231</v>
      </c>
      <c r="B40" s="6" t="s">
        <v>41</v>
      </c>
      <c r="C40" s="6" t="s">
        <v>232</v>
      </c>
      <c r="D40" s="6" t="s">
        <v>164</v>
      </c>
      <c r="E40" s="17" t="s">
        <v>94</v>
      </c>
      <c r="F40" s="6" t="s">
        <v>189</v>
      </c>
      <c r="G40" s="6" t="s">
        <v>233</v>
      </c>
      <c r="H40" s="6" t="s">
        <v>234</v>
      </c>
      <c r="I40" s="18" t="s">
        <v>33</v>
      </c>
      <c r="J40" s="19"/>
      <c r="K40" s="20"/>
      <c r="L40" s="19"/>
    </row>
    <row r="41" customFormat="false" ht="30" hidden="false" customHeight="true" outlineLevel="0" collapsed="false">
      <c r="A41" s="16" t="s">
        <v>235</v>
      </c>
      <c r="B41" s="6" t="s">
        <v>41</v>
      </c>
      <c r="C41" s="6" t="s">
        <v>236</v>
      </c>
      <c r="D41" s="6" t="s">
        <v>164</v>
      </c>
      <c r="E41" s="17" t="s">
        <v>94</v>
      </c>
      <c r="F41" s="6" t="s">
        <v>71</v>
      </c>
      <c r="G41" s="6" t="s">
        <v>237</v>
      </c>
      <c r="H41" s="6" t="s">
        <v>105</v>
      </c>
      <c r="I41" s="18" t="s">
        <v>33</v>
      </c>
      <c r="J41" s="19"/>
      <c r="K41" s="20"/>
      <c r="L41" s="19"/>
    </row>
    <row r="42" customFormat="false" ht="48" hidden="false" customHeight="true" outlineLevel="0" collapsed="false">
      <c r="A42" s="16" t="s">
        <v>238</v>
      </c>
      <c r="B42" s="6" t="s">
        <v>41</v>
      </c>
      <c r="C42" s="6" t="s">
        <v>239</v>
      </c>
      <c r="D42" s="6" t="s">
        <v>164</v>
      </c>
      <c r="E42" s="17" t="s">
        <v>59</v>
      </c>
      <c r="F42" s="6" t="s">
        <v>71</v>
      </c>
      <c r="G42" s="6" t="s">
        <v>240</v>
      </c>
      <c r="H42" s="6" t="s">
        <v>105</v>
      </c>
      <c r="I42" s="18" t="s">
        <v>33</v>
      </c>
      <c r="J42" s="19"/>
      <c r="K42" s="20"/>
      <c r="L42" s="19"/>
    </row>
    <row r="43" customFormat="false" ht="48" hidden="false" customHeight="true" outlineLevel="0" collapsed="false">
      <c r="A43" s="16" t="s">
        <v>241</v>
      </c>
      <c r="B43" s="6" t="s">
        <v>41</v>
      </c>
      <c r="C43" s="6" t="s">
        <v>242</v>
      </c>
      <c r="D43" s="6" t="s">
        <v>164</v>
      </c>
      <c r="E43" s="17" t="s">
        <v>59</v>
      </c>
      <c r="F43" s="6" t="s">
        <v>189</v>
      </c>
      <c r="G43" s="6" t="s">
        <v>243</v>
      </c>
      <c r="H43" s="6" t="s">
        <v>244</v>
      </c>
      <c r="I43" s="18" t="s">
        <v>33</v>
      </c>
      <c r="J43" s="19"/>
      <c r="K43" s="20"/>
      <c r="L43" s="19"/>
    </row>
    <row r="44" customFormat="false" ht="48" hidden="false" customHeight="true" outlineLevel="0" collapsed="false">
      <c r="A44" s="16" t="s">
        <v>245</v>
      </c>
      <c r="B44" s="6" t="s">
        <v>41</v>
      </c>
      <c r="C44" s="6" t="s">
        <v>246</v>
      </c>
      <c r="D44" s="6" t="s">
        <v>65</v>
      </c>
      <c r="E44" s="17" t="s">
        <v>59</v>
      </c>
      <c r="F44" s="6" t="s">
        <v>88</v>
      </c>
      <c r="G44" s="6" t="s">
        <v>247</v>
      </c>
      <c r="H44" s="6" t="s">
        <v>105</v>
      </c>
      <c r="I44" s="18" t="s">
        <v>33</v>
      </c>
      <c r="J44" s="19"/>
      <c r="K44" s="20"/>
      <c r="L44" s="19"/>
    </row>
    <row r="45" customFormat="false" ht="72" hidden="false" customHeight="true" outlineLevel="0" collapsed="false">
      <c r="A45" s="16" t="s">
        <v>248</v>
      </c>
      <c r="B45" s="6" t="s">
        <v>42</v>
      </c>
      <c r="C45" s="6" t="s">
        <v>249</v>
      </c>
      <c r="D45" s="6" t="s">
        <v>250</v>
      </c>
      <c r="E45" s="17" t="s">
        <v>59</v>
      </c>
      <c r="F45" s="6" t="s">
        <v>189</v>
      </c>
      <c r="G45" s="6" t="s">
        <v>251</v>
      </c>
      <c r="H45" s="6" t="s">
        <v>252</v>
      </c>
      <c r="I45" s="18" t="s">
        <v>33</v>
      </c>
      <c r="J45" s="19"/>
      <c r="K45" s="20"/>
      <c r="L45" s="19"/>
    </row>
    <row r="46" customFormat="false" ht="33.75" hidden="false" customHeight="true" outlineLevel="0" collapsed="false">
      <c r="A46" s="16" t="s">
        <v>253</v>
      </c>
      <c r="B46" s="6" t="s">
        <v>42</v>
      </c>
      <c r="C46" s="6" t="s">
        <v>254</v>
      </c>
      <c r="D46" s="6" t="s">
        <v>164</v>
      </c>
      <c r="E46" s="17" t="s">
        <v>59</v>
      </c>
      <c r="F46" s="6" t="s">
        <v>71</v>
      </c>
      <c r="G46" s="6" t="s">
        <v>255</v>
      </c>
      <c r="H46" s="6" t="s">
        <v>105</v>
      </c>
      <c r="I46" s="18" t="s">
        <v>33</v>
      </c>
      <c r="J46" s="19"/>
      <c r="K46" s="20"/>
      <c r="L46" s="19"/>
    </row>
    <row r="47" customFormat="false" ht="61.5" hidden="false" customHeight="true" outlineLevel="0" collapsed="false">
      <c r="A47" s="16" t="s">
        <v>256</v>
      </c>
      <c r="B47" s="6" t="s">
        <v>42</v>
      </c>
      <c r="C47" s="6" t="s">
        <v>257</v>
      </c>
      <c r="D47" s="6" t="s">
        <v>258</v>
      </c>
      <c r="E47" s="17" t="s">
        <v>59</v>
      </c>
      <c r="F47" s="6" t="s">
        <v>259</v>
      </c>
      <c r="G47" s="6" t="s">
        <v>260</v>
      </c>
      <c r="H47" s="6" t="s">
        <v>105</v>
      </c>
      <c r="I47" s="18" t="s">
        <v>33</v>
      </c>
      <c r="J47" s="19"/>
      <c r="K47" s="20"/>
      <c r="L47" s="19"/>
    </row>
    <row r="48" customFormat="false" ht="73.5" hidden="false" customHeight="true" outlineLevel="0" collapsed="false">
      <c r="A48" s="16" t="s">
        <v>261</v>
      </c>
      <c r="B48" s="6" t="s">
        <v>42</v>
      </c>
      <c r="C48" s="6" t="s">
        <v>262</v>
      </c>
      <c r="D48" s="6" t="s">
        <v>263</v>
      </c>
      <c r="E48" s="17" t="s">
        <v>59</v>
      </c>
      <c r="F48" s="6" t="s">
        <v>71</v>
      </c>
      <c r="G48" s="6" t="s">
        <v>264</v>
      </c>
      <c r="H48" s="6" t="s">
        <v>105</v>
      </c>
      <c r="I48" s="18" t="s">
        <v>33</v>
      </c>
      <c r="J48" s="19"/>
      <c r="K48" s="20"/>
      <c r="L48" s="19"/>
    </row>
    <row r="49" customFormat="false" ht="48" hidden="false" customHeight="true" outlineLevel="0" collapsed="false">
      <c r="A49" s="16" t="s">
        <v>265</v>
      </c>
      <c r="B49" s="6" t="s">
        <v>42</v>
      </c>
      <c r="C49" s="6" t="s">
        <v>266</v>
      </c>
      <c r="D49" s="6" t="s">
        <v>145</v>
      </c>
      <c r="E49" s="17" t="s">
        <v>59</v>
      </c>
      <c r="F49" s="6" t="s">
        <v>189</v>
      </c>
      <c r="G49" s="6" t="s">
        <v>267</v>
      </c>
      <c r="H49" s="6" t="s">
        <v>268</v>
      </c>
      <c r="I49" s="18" t="s">
        <v>33</v>
      </c>
      <c r="J49" s="19"/>
      <c r="K49" s="20"/>
      <c r="L49" s="19"/>
    </row>
    <row r="50" customFormat="false" ht="48" hidden="false" customHeight="true" outlineLevel="0" collapsed="false">
      <c r="A50" s="16" t="s">
        <v>269</v>
      </c>
      <c r="B50" s="6" t="s">
        <v>42</v>
      </c>
      <c r="C50" s="6" t="s">
        <v>270</v>
      </c>
      <c r="D50" s="6" t="s">
        <v>164</v>
      </c>
      <c r="E50" s="17" t="s">
        <v>59</v>
      </c>
      <c r="F50" s="6" t="s">
        <v>189</v>
      </c>
      <c r="G50" s="6" t="s">
        <v>271</v>
      </c>
      <c r="H50" s="6" t="s">
        <v>105</v>
      </c>
      <c r="I50" s="18" t="s">
        <v>33</v>
      </c>
      <c r="J50" s="19"/>
      <c r="K50" s="20"/>
      <c r="L50" s="19"/>
    </row>
    <row r="51" customFormat="false" ht="48" hidden="false" customHeight="true" outlineLevel="0" collapsed="false">
      <c r="A51" s="16" t="s">
        <v>272</v>
      </c>
      <c r="B51" s="6" t="s">
        <v>42</v>
      </c>
      <c r="C51" s="6" t="s">
        <v>273</v>
      </c>
      <c r="D51" s="6" t="s">
        <v>164</v>
      </c>
      <c r="E51" s="17" t="s">
        <v>59</v>
      </c>
      <c r="F51" s="6" t="s">
        <v>71</v>
      </c>
      <c r="G51" s="6" t="s">
        <v>274</v>
      </c>
      <c r="H51" s="6" t="s">
        <v>105</v>
      </c>
      <c r="I51" s="18" t="s">
        <v>33</v>
      </c>
      <c r="J51" s="19"/>
      <c r="K51" s="20"/>
      <c r="L51" s="19"/>
    </row>
    <row r="52" customFormat="false" ht="73.5" hidden="false" customHeight="true" outlineLevel="0" collapsed="false">
      <c r="A52" s="16" t="s">
        <v>275</v>
      </c>
      <c r="B52" s="6" t="s">
        <v>42</v>
      </c>
      <c r="C52" s="6" t="s">
        <v>276</v>
      </c>
      <c r="D52" s="6" t="s">
        <v>250</v>
      </c>
      <c r="E52" s="17" t="s">
        <v>59</v>
      </c>
      <c r="F52" s="6" t="s">
        <v>71</v>
      </c>
      <c r="G52" s="6" t="s">
        <v>277</v>
      </c>
      <c r="H52" s="6" t="s">
        <v>105</v>
      </c>
      <c r="I52" s="18" t="s">
        <v>33</v>
      </c>
      <c r="J52" s="19"/>
      <c r="K52" s="20"/>
      <c r="L52" s="19"/>
    </row>
    <row r="53" customFormat="false" ht="48" hidden="false" customHeight="true" outlineLevel="0" collapsed="false">
      <c r="A53" s="16" t="s">
        <v>278</v>
      </c>
      <c r="B53" s="6" t="s">
        <v>42</v>
      </c>
      <c r="C53" s="6" t="s">
        <v>279</v>
      </c>
      <c r="D53" s="6" t="s">
        <v>164</v>
      </c>
      <c r="E53" s="17" t="s">
        <v>94</v>
      </c>
      <c r="F53" s="6" t="s">
        <v>71</v>
      </c>
      <c r="G53" s="6" t="s">
        <v>280</v>
      </c>
      <c r="H53" s="6" t="s">
        <v>105</v>
      </c>
      <c r="I53" s="18" t="s">
        <v>33</v>
      </c>
      <c r="J53" s="19"/>
      <c r="K53" s="20"/>
      <c r="L53" s="19"/>
    </row>
    <row r="54" customFormat="false" ht="73.5" hidden="false" customHeight="true" outlineLevel="0" collapsed="false">
      <c r="A54" s="16" t="s">
        <v>281</v>
      </c>
      <c r="B54" s="6" t="s">
        <v>43</v>
      </c>
      <c r="C54" s="6" t="s">
        <v>282</v>
      </c>
      <c r="D54" s="6" t="s">
        <v>283</v>
      </c>
      <c r="E54" s="17" t="s">
        <v>94</v>
      </c>
      <c r="F54" s="6" t="s">
        <v>284</v>
      </c>
      <c r="G54" s="6" t="s">
        <v>285</v>
      </c>
      <c r="H54" s="6" t="s">
        <v>244</v>
      </c>
      <c r="I54" s="18" t="s">
        <v>33</v>
      </c>
      <c r="J54" s="19"/>
      <c r="K54" s="20"/>
      <c r="L54" s="19"/>
    </row>
    <row r="55" customFormat="false" ht="48" hidden="false" customHeight="true" outlineLevel="0" collapsed="false">
      <c r="A55" s="16" t="s">
        <v>286</v>
      </c>
      <c r="B55" s="6" t="s">
        <v>43</v>
      </c>
      <c r="C55" s="6" t="s">
        <v>287</v>
      </c>
      <c r="D55" s="6" t="s">
        <v>283</v>
      </c>
      <c r="E55" s="17" t="s">
        <v>94</v>
      </c>
      <c r="F55" s="6" t="s">
        <v>284</v>
      </c>
      <c r="G55" s="6" t="s">
        <v>288</v>
      </c>
      <c r="H55" s="6" t="s">
        <v>244</v>
      </c>
      <c r="I55" s="18" t="s">
        <v>33</v>
      </c>
      <c r="J55" s="19"/>
      <c r="K55" s="20"/>
      <c r="L55" s="19"/>
    </row>
    <row r="56" customFormat="false" ht="48" hidden="false" customHeight="true" outlineLevel="0" collapsed="false">
      <c r="A56" s="16" t="s">
        <v>289</v>
      </c>
      <c r="B56" s="6" t="s">
        <v>43</v>
      </c>
      <c r="C56" s="6" t="s">
        <v>290</v>
      </c>
      <c r="D56" s="6" t="s">
        <v>140</v>
      </c>
      <c r="E56" s="17" t="s">
        <v>94</v>
      </c>
      <c r="F56" s="6" t="s">
        <v>284</v>
      </c>
      <c r="G56" s="6" t="s">
        <v>291</v>
      </c>
      <c r="H56" s="6" t="s">
        <v>244</v>
      </c>
      <c r="I56" s="18" t="s">
        <v>33</v>
      </c>
      <c r="J56" s="19"/>
      <c r="K56" s="20"/>
      <c r="L56" s="19"/>
    </row>
    <row r="57" customFormat="false" ht="48" hidden="false" customHeight="true" outlineLevel="0" collapsed="false">
      <c r="A57" s="16" t="s">
        <v>292</v>
      </c>
      <c r="B57" s="6" t="s">
        <v>43</v>
      </c>
      <c r="C57" s="6" t="s">
        <v>293</v>
      </c>
      <c r="D57" s="6" t="s">
        <v>283</v>
      </c>
      <c r="E57" s="17" t="s">
        <v>94</v>
      </c>
      <c r="F57" s="6" t="s">
        <v>284</v>
      </c>
      <c r="G57" s="6" t="s">
        <v>294</v>
      </c>
      <c r="H57" s="6" t="s">
        <v>244</v>
      </c>
      <c r="I57" s="18" t="s">
        <v>33</v>
      </c>
      <c r="J57" s="19"/>
      <c r="K57" s="20"/>
      <c r="L57" s="19"/>
    </row>
    <row r="58" customFormat="false" ht="48" hidden="false" customHeight="true" outlineLevel="0" collapsed="false">
      <c r="A58" s="16" t="s">
        <v>295</v>
      </c>
      <c r="B58" s="6" t="s">
        <v>43</v>
      </c>
      <c r="C58" s="6" t="s">
        <v>296</v>
      </c>
      <c r="D58" s="6" t="s">
        <v>283</v>
      </c>
      <c r="E58" s="17" t="s">
        <v>94</v>
      </c>
      <c r="F58" s="6" t="s">
        <v>297</v>
      </c>
      <c r="G58" s="6" t="s">
        <v>298</v>
      </c>
      <c r="H58" s="6" t="s">
        <v>244</v>
      </c>
      <c r="I58" s="18" t="s">
        <v>33</v>
      </c>
      <c r="J58" s="19"/>
      <c r="K58" s="20"/>
      <c r="L58" s="19"/>
    </row>
    <row r="59" customFormat="false" ht="61.5" hidden="false" customHeight="true" outlineLevel="0" collapsed="false">
      <c r="A59" s="16" t="s">
        <v>299</v>
      </c>
      <c r="B59" s="6" t="s">
        <v>43</v>
      </c>
      <c r="C59" s="6" t="s">
        <v>300</v>
      </c>
      <c r="D59" s="6" t="s">
        <v>65</v>
      </c>
      <c r="E59" s="17" t="s">
        <v>59</v>
      </c>
      <c r="F59" s="6" t="s">
        <v>297</v>
      </c>
      <c r="G59" s="6" t="s">
        <v>301</v>
      </c>
      <c r="H59" s="6" t="s">
        <v>302</v>
      </c>
      <c r="I59" s="18" t="s">
        <v>33</v>
      </c>
      <c r="J59" s="19"/>
      <c r="K59" s="20"/>
      <c r="L59" s="19"/>
    </row>
    <row r="60" customFormat="false" ht="33.75" hidden="false" customHeight="true" outlineLevel="0" collapsed="false">
      <c r="A60" s="16" t="s">
        <v>303</v>
      </c>
      <c r="B60" s="6" t="s">
        <v>43</v>
      </c>
      <c r="C60" s="6" t="s">
        <v>304</v>
      </c>
      <c r="D60" s="6" t="s">
        <v>140</v>
      </c>
      <c r="E60" s="17" t="s">
        <v>59</v>
      </c>
      <c r="F60" s="6" t="s">
        <v>297</v>
      </c>
      <c r="G60" s="6" t="s">
        <v>305</v>
      </c>
      <c r="H60" s="6" t="s">
        <v>306</v>
      </c>
      <c r="I60" s="18" t="s">
        <v>33</v>
      </c>
      <c r="J60" s="19"/>
      <c r="K60" s="20"/>
      <c r="L60" s="19"/>
    </row>
    <row r="61" customFormat="false" ht="48" hidden="false" customHeight="true" outlineLevel="0" collapsed="false">
      <c r="A61" s="16" t="s">
        <v>307</v>
      </c>
      <c r="B61" s="6" t="s">
        <v>44</v>
      </c>
      <c r="C61" s="6" t="s">
        <v>308</v>
      </c>
      <c r="D61" s="6" t="s">
        <v>145</v>
      </c>
      <c r="E61" s="17" t="s">
        <v>59</v>
      </c>
      <c r="F61" s="6" t="s">
        <v>60</v>
      </c>
      <c r="G61" s="6" t="s">
        <v>309</v>
      </c>
      <c r="H61" s="6" t="s">
        <v>310</v>
      </c>
      <c r="I61" s="18" t="s">
        <v>33</v>
      </c>
      <c r="J61" s="19"/>
      <c r="K61" s="20"/>
      <c r="L61" s="19"/>
    </row>
    <row r="62" customFormat="false" ht="48" hidden="false" customHeight="true" outlineLevel="0" collapsed="false">
      <c r="A62" s="16" t="s">
        <v>311</v>
      </c>
      <c r="B62" s="6" t="s">
        <v>44</v>
      </c>
      <c r="C62" s="6" t="s">
        <v>312</v>
      </c>
      <c r="D62" s="6" t="s">
        <v>145</v>
      </c>
      <c r="E62" s="17" t="s">
        <v>59</v>
      </c>
      <c r="F62" s="6" t="s">
        <v>141</v>
      </c>
      <c r="G62" s="6" t="s">
        <v>313</v>
      </c>
      <c r="H62" s="6" t="s">
        <v>314</v>
      </c>
      <c r="I62" s="18" t="s">
        <v>33</v>
      </c>
      <c r="J62" s="19"/>
      <c r="K62" s="20"/>
      <c r="L62" s="19"/>
    </row>
    <row r="63" customFormat="false" ht="60" hidden="false" customHeight="true" outlineLevel="0" collapsed="false">
      <c r="A63" s="16" t="s">
        <v>315</v>
      </c>
      <c r="B63" s="6" t="s">
        <v>44</v>
      </c>
      <c r="C63" s="6" t="s">
        <v>316</v>
      </c>
      <c r="D63" s="6" t="s">
        <v>317</v>
      </c>
      <c r="E63" s="17" t="s">
        <v>59</v>
      </c>
      <c r="F63" s="6" t="s">
        <v>189</v>
      </c>
      <c r="G63" s="6" t="s">
        <v>318</v>
      </c>
      <c r="H63" s="6" t="s">
        <v>319</v>
      </c>
      <c r="I63" s="18" t="s">
        <v>33</v>
      </c>
      <c r="J63" s="19"/>
      <c r="K63" s="20"/>
      <c r="L63" s="19"/>
    </row>
    <row r="64" customFormat="false" ht="48" hidden="false" customHeight="true" outlineLevel="0" collapsed="false">
      <c r="A64" s="16" t="s">
        <v>320</v>
      </c>
      <c r="B64" s="6" t="s">
        <v>44</v>
      </c>
      <c r="C64" s="6" t="s">
        <v>321</v>
      </c>
      <c r="D64" s="6" t="s">
        <v>151</v>
      </c>
      <c r="E64" s="17" t="s">
        <v>59</v>
      </c>
      <c r="F64" s="6" t="s">
        <v>71</v>
      </c>
      <c r="G64" s="6" t="s">
        <v>322</v>
      </c>
      <c r="H64" s="6" t="s">
        <v>105</v>
      </c>
      <c r="I64" s="18" t="s">
        <v>33</v>
      </c>
      <c r="J64" s="19"/>
      <c r="K64" s="20"/>
      <c r="L64" s="19"/>
    </row>
    <row r="65" customFormat="false" ht="60" hidden="false" customHeight="true" outlineLevel="0" collapsed="false">
      <c r="A65" s="16" t="s">
        <v>323</v>
      </c>
      <c r="B65" s="6" t="s">
        <v>44</v>
      </c>
      <c r="C65" s="6" t="s">
        <v>324</v>
      </c>
      <c r="D65" s="6" t="s">
        <v>145</v>
      </c>
      <c r="E65" s="17" t="s">
        <v>59</v>
      </c>
      <c r="F65" s="6" t="s">
        <v>325</v>
      </c>
      <c r="G65" s="6" t="s">
        <v>326</v>
      </c>
      <c r="H65" s="6" t="s">
        <v>105</v>
      </c>
      <c r="I65" s="18" t="s">
        <v>33</v>
      </c>
      <c r="J65" s="19"/>
      <c r="K65" s="20"/>
      <c r="L65" s="19"/>
    </row>
    <row r="66" customFormat="false" ht="87.75" hidden="false" customHeight="true" outlineLevel="0" collapsed="false">
      <c r="A66" s="16" t="s">
        <v>327</v>
      </c>
      <c r="B66" s="6" t="s">
        <v>44</v>
      </c>
      <c r="C66" s="6" t="s">
        <v>328</v>
      </c>
      <c r="D66" s="6" t="s">
        <v>145</v>
      </c>
      <c r="E66" s="17" t="s">
        <v>59</v>
      </c>
      <c r="F66" s="6" t="s">
        <v>189</v>
      </c>
      <c r="G66" s="6" t="s">
        <v>329</v>
      </c>
      <c r="H66" s="6" t="s">
        <v>330</v>
      </c>
      <c r="I66" s="18" t="s">
        <v>33</v>
      </c>
      <c r="J66" s="19"/>
      <c r="K66" s="20"/>
      <c r="L66" s="19"/>
    </row>
    <row r="67" customFormat="false" ht="84" hidden="false" customHeight="true" outlineLevel="0" collapsed="false">
      <c r="A67" s="16" t="s">
        <v>331</v>
      </c>
      <c r="B67" s="6" t="s">
        <v>45</v>
      </c>
      <c r="C67" s="6" t="s">
        <v>332</v>
      </c>
      <c r="D67" s="6" t="s">
        <v>333</v>
      </c>
      <c r="E67" s="17" t="s">
        <v>59</v>
      </c>
      <c r="F67" s="6" t="s">
        <v>60</v>
      </c>
      <c r="G67" s="6" t="s">
        <v>334</v>
      </c>
      <c r="H67" s="6" t="s">
        <v>335</v>
      </c>
      <c r="I67" s="18" t="s">
        <v>33</v>
      </c>
      <c r="J67" s="19"/>
      <c r="K67" s="20"/>
      <c r="L67" s="19"/>
    </row>
    <row r="68" customFormat="false" ht="48" hidden="false" customHeight="true" outlineLevel="0" collapsed="false">
      <c r="A68" s="16" t="s">
        <v>336</v>
      </c>
      <c r="B68" s="6" t="s">
        <v>45</v>
      </c>
      <c r="C68" s="6" t="s">
        <v>337</v>
      </c>
      <c r="D68" s="6" t="s">
        <v>145</v>
      </c>
      <c r="E68" s="17" t="s">
        <v>59</v>
      </c>
      <c r="F68" s="6" t="s">
        <v>60</v>
      </c>
      <c r="G68" s="6" t="s">
        <v>338</v>
      </c>
      <c r="H68" s="6" t="s">
        <v>105</v>
      </c>
      <c r="I68" s="18" t="s">
        <v>33</v>
      </c>
      <c r="J68" s="19"/>
      <c r="K68" s="20"/>
      <c r="L68" s="19"/>
    </row>
    <row r="69" customFormat="false" ht="48" hidden="false" customHeight="true" outlineLevel="0" collapsed="false">
      <c r="A69" s="16" t="s">
        <v>339</v>
      </c>
      <c r="B69" s="6" t="s">
        <v>46</v>
      </c>
      <c r="C69" s="6" t="s">
        <v>340</v>
      </c>
      <c r="D69" s="6" t="s">
        <v>341</v>
      </c>
      <c r="E69" s="17" t="s">
        <v>59</v>
      </c>
      <c r="F69" s="6" t="s">
        <v>342</v>
      </c>
      <c r="G69" s="6" t="s">
        <v>343</v>
      </c>
      <c r="H69" s="6" t="s">
        <v>344</v>
      </c>
      <c r="I69" s="18" t="s">
        <v>33</v>
      </c>
      <c r="J69" s="19"/>
      <c r="K69" s="20"/>
      <c r="L69" s="19"/>
    </row>
    <row r="70" customFormat="false" ht="33.75" hidden="false" customHeight="true" outlineLevel="0" collapsed="false">
      <c r="A70" s="16" t="s">
        <v>345</v>
      </c>
      <c r="B70" s="6" t="s">
        <v>46</v>
      </c>
      <c r="C70" s="6" t="s">
        <v>346</v>
      </c>
      <c r="D70" s="6" t="s">
        <v>341</v>
      </c>
      <c r="E70" s="17" t="s">
        <v>59</v>
      </c>
      <c r="F70" s="6" t="s">
        <v>60</v>
      </c>
      <c r="G70" s="6" t="s">
        <v>347</v>
      </c>
      <c r="H70" s="6" t="s">
        <v>348</v>
      </c>
      <c r="I70" s="18" t="s">
        <v>33</v>
      </c>
      <c r="J70" s="19"/>
      <c r="K70" s="20"/>
      <c r="L70" s="19"/>
    </row>
    <row r="71" customFormat="false" ht="48" hidden="false" customHeight="true" outlineLevel="0" collapsed="false">
      <c r="A71" s="16" t="s">
        <v>349</v>
      </c>
      <c r="B71" s="6" t="s">
        <v>46</v>
      </c>
      <c r="C71" s="6" t="s">
        <v>350</v>
      </c>
      <c r="D71" s="6" t="s">
        <v>351</v>
      </c>
      <c r="E71" s="17" t="s">
        <v>59</v>
      </c>
      <c r="F71" s="6" t="s">
        <v>342</v>
      </c>
      <c r="G71" s="6" t="s">
        <v>352</v>
      </c>
      <c r="H71" s="6" t="s">
        <v>306</v>
      </c>
      <c r="I71" s="18" t="s">
        <v>33</v>
      </c>
      <c r="J71" s="19"/>
      <c r="K71" s="20"/>
      <c r="L71" s="19"/>
    </row>
    <row r="72" customFormat="false" ht="60" hidden="false" customHeight="true" outlineLevel="0" collapsed="false">
      <c r="A72" s="16" t="s">
        <v>353</v>
      </c>
      <c r="B72" s="6" t="s">
        <v>46</v>
      </c>
      <c r="C72" s="6" t="s">
        <v>354</v>
      </c>
      <c r="D72" s="6" t="s">
        <v>179</v>
      </c>
      <c r="E72" s="17" t="s">
        <v>59</v>
      </c>
      <c r="F72" s="6" t="s">
        <v>342</v>
      </c>
      <c r="G72" s="6" t="s">
        <v>355</v>
      </c>
      <c r="H72" s="6" t="s">
        <v>356</v>
      </c>
      <c r="I72" s="18" t="s">
        <v>33</v>
      </c>
      <c r="J72" s="19"/>
      <c r="K72" s="20"/>
      <c r="L72" s="19"/>
    </row>
    <row r="73" customFormat="false" ht="73.5" hidden="false" customHeight="true" outlineLevel="0" collapsed="false">
      <c r="A73" s="16" t="s">
        <v>357</v>
      </c>
      <c r="B73" s="6" t="s">
        <v>47</v>
      </c>
      <c r="C73" s="6" t="s">
        <v>358</v>
      </c>
      <c r="D73" s="6" t="s">
        <v>359</v>
      </c>
      <c r="E73" s="17" t="s">
        <v>59</v>
      </c>
      <c r="F73" s="6" t="s">
        <v>360</v>
      </c>
      <c r="G73" s="6" t="s">
        <v>361</v>
      </c>
      <c r="H73" s="6" t="s">
        <v>362</v>
      </c>
      <c r="I73" s="18" t="s">
        <v>33</v>
      </c>
      <c r="J73" s="19"/>
      <c r="K73" s="20"/>
      <c r="L73" s="19"/>
    </row>
    <row r="74" customFormat="false" ht="48" hidden="false" customHeight="true" outlineLevel="0" collapsed="false">
      <c r="A74" s="16" t="s">
        <v>363</v>
      </c>
      <c r="B74" s="6" t="s">
        <v>47</v>
      </c>
      <c r="C74" s="6" t="s">
        <v>364</v>
      </c>
      <c r="D74" s="6" t="s">
        <v>341</v>
      </c>
      <c r="E74" s="17" t="s">
        <v>59</v>
      </c>
      <c r="F74" s="6" t="s">
        <v>365</v>
      </c>
      <c r="G74" s="6" t="s">
        <v>366</v>
      </c>
      <c r="H74" s="6" t="s">
        <v>367</v>
      </c>
      <c r="I74" s="18" t="s">
        <v>33</v>
      </c>
      <c r="J74" s="19"/>
      <c r="K74" s="20"/>
      <c r="L74" s="19"/>
    </row>
    <row r="75" customFormat="false" ht="30" hidden="false" customHeight="true" outlineLevel="0" collapsed="false">
      <c r="A75" s="16" t="s">
        <v>368</v>
      </c>
      <c r="B75" s="6" t="s">
        <v>47</v>
      </c>
      <c r="C75" s="6" t="s">
        <v>369</v>
      </c>
      <c r="D75" s="6" t="s">
        <v>370</v>
      </c>
      <c r="E75" s="17" t="s">
        <v>94</v>
      </c>
      <c r="F75" s="6" t="s">
        <v>342</v>
      </c>
      <c r="G75" s="6" t="s">
        <v>371</v>
      </c>
      <c r="H75" s="6" t="s">
        <v>372</v>
      </c>
      <c r="I75" s="18" t="s">
        <v>33</v>
      </c>
      <c r="J75" s="19"/>
      <c r="K75" s="20"/>
      <c r="L75" s="19"/>
    </row>
    <row r="76" customFormat="false" ht="48" hidden="false" customHeight="true" outlineLevel="0" collapsed="false">
      <c r="A76" s="16" t="s">
        <v>373</v>
      </c>
      <c r="B76" s="6" t="s">
        <v>48</v>
      </c>
      <c r="C76" s="6" t="s">
        <v>374</v>
      </c>
      <c r="D76" s="6" t="s">
        <v>375</v>
      </c>
      <c r="E76" s="17" t="s">
        <v>59</v>
      </c>
      <c r="F76" s="6" t="s">
        <v>71</v>
      </c>
      <c r="G76" s="6" t="s">
        <v>376</v>
      </c>
      <c r="H76" s="6" t="s">
        <v>377</v>
      </c>
      <c r="I76" s="18" t="s">
        <v>33</v>
      </c>
      <c r="J76" s="19"/>
      <c r="K76" s="20"/>
      <c r="L76" s="19"/>
    </row>
    <row r="77" customFormat="false" ht="48" hidden="false" customHeight="true" outlineLevel="0" collapsed="false">
      <c r="A77" s="16" t="s">
        <v>378</v>
      </c>
      <c r="B77" s="6" t="s">
        <v>48</v>
      </c>
      <c r="C77" s="6" t="s">
        <v>379</v>
      </c>
      <c r="D77" s="6" t="s">
        <v>380</v>
      </c>
      <c r="E77" s="17" t="s">
        <v>59</v>
      </c>
      <c r="F77" s="6" t="s">
        <v>60</v>
      </c>
      <c r="G77" s="6" t="s">
        <v>381</v>
      </c>
      <c r="H77" s="6" t="s">
        <v>382</v>
      </c>
      <c r="I77" s="18" t="s">
        <v>33</v>
      </c>
      <c r="J77" s="19"/>
      <c r="K77" s="20"/>
      <c r="L77" s="19"/>
    </row>
    <row r="78" customFormat="false" ht="48" hidden="false" customHeight="true" outlineLevel="0" collapsed="false">
      <c r="A78" s="16" t="s">
        <v>383</v>
      </c>
      <c r="B78" s="6" t="s">
        <v>48</v>
      </c>
      <c r="C78" s="6" t="s">
        <v>384</v>
      </c>
      <c r="D78" s="6" t="s">
        <v>385</v>
      </c>
      <c r="E78" s="17" t="s">
        <v>59</v>
      </c>
      <c r="F78" s="6" t="s">
        <v>386</v>
      </c>
      <c r="G78" s="6" t="s">
        <v>387</v>
      </c>
      <c r="H78" s="6" t="s">
        <v>388</v>
      </c>
      <c r="I78" s="18" t="s">
        <v>33</v>
      </c>
      <c r="J78" s="19"/>
      <c r="K78" s="20"/>
      <c r="L78" s="19"/>
    </row>
    <row r="79" customFormat="false" ht="61.5" hidden="false" customHeight="true" outlineLevel="0" collapsed="false">
      <c r="A79" s="16" t="s">
        <v>389</v>
      </c>
      <c r="B79" s="6" t="s">
        <v>48</v>
      </c>
      <c r="C79" s="6" t="s">
        <v>390</v>
      </c>
      <c r="D79" s="6" t="s">
        <v>385</v>
      </c>
      <c r="E79" s="17" t="s">
        <v>59</v>
      </c>
      <c r="F79" s="6" t="s">
        <v>60</v>
      </c>
      <c r="G79" s="6" t="s">
        <v>391</v>
      </c>
      <c r="H79" s="6" t="s">
        <v>392</v>
      </c>
      <c r="I79" s="18" t="s">
        <v>33</v>
      </c>
      <c r="J79" s="19"/>
      <c r="K79" s="20"/>
      <c r="L79" s="19"/>
    </row>
    <row r="80" customFormat="false" ht="61.5" hidden="false" customHeight="true" outlineLevel="0" collapsed="false">
      <c r="A80" s="16" t="s">
        <v>393</v>
      </c>
      <c r="B80" s="6" t="s">
        <v>48</v>
      </c>
      <c r="C80" s="6" t="s">
        <v>394</v>
      </c>
      <c r="D80" s="6" t="s">
        <v>395</v>
      </c>
      <c r="E80" s="17" t="s">
        <v>59</v>
      </c>
      <c r="F80" s="6" t="s">
        <v>342</v>
      </c>
      <c r="G80" s="6" t="s">
        <v>396</v>
      </c>
      <c r="H80" s="6" t="s">
        <v>306</v>
      </c>
      <c r="I80" s="18" t="s">
        <v>33</v>
      </c>
      <c r="J80" s="19"/>
      <c r="K80" s="20"/>
      <c r="L80" s="19"/>
    </row>
  </sheetData>
  <autoFilter ref="A1:L80"/>
  <conditionalFormatting sqref="I2:I80">
    <cfRule type="expression" priority="2" aboveAverage="0" equalAverage="0" bottom="0" percent="0" rank="0" text="" dxfId="4">
      <formula>$I2="Cumple"</formula>
    </cfRule>
    <cfRule type="expression" priority="3" aboveAverage="0" equalAverage="0" bottom="0" percent="0" rank="0" text="" dxfId="5">
      <formula>$I2="Cumple parcial"</formula>
    </cfRule>
    <cfRule type="expression" priority="4" aboveAverage="0" equalAverage="0" bottom="0" percent="0" rank="0" text="" dxfId="6">
      <formula>$I2="No cumple"</formula>
    </cfRule>
    <cfRule type="expression" priority="5" aboveAverage="0" equalAverage="0" bottom="0" percent="0" rank="0" text="" dxfId="7">
      <formula>$I2="En desarrollo"</formula>
    </cfRule>
    <cfRule type="expression" priority="6" aboveAverage="0" equalAverage="0" bottom="0" percent="0" rank="0" text="" dxfId="8">
      <formula>$I2="N/A"</formula>
    </cfRule>
  </conditionalFormatting>
  <dataValidations count="2">
    <dataValidation allowBlank="false" error="Elija un estado de la lista" errorStyle="stop" errorTitle="Estado no válido" operator="between" showDropDown="false" showErrorMessage="false" showInputMessage="false" sqref="I2:I80" type="list">
      <formula1>"Pendiente,En desarrollo,Cumple,Cumple parcial,No cumple,N/A"</formula1>
      <formula2>0</formula2>
    </dataValidation>
    <dataValidation allowBlank="false" errorStyle="stop" operator="between" showDropDown="false" showErrorMessage="false" showInputMessage="false" sqref="E2:E80" type="list">
      <formula1>"MVP,Posterior"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45"/>
    <col collapsed="false" customWidth="true" hidden="false" outlineLevel="0" max="7" min="7" style="0" width="13"/>
  </cols>
  <sheetData>
    <row r="1" customFormat="false" ht="23.85" hidden="false" customHeight="false" outlineLevel="0" collapsed="false">
      <c r="A1" s="8" t="s">
        <v>16</v>
      </c>
      <c r="B1" s="8" t="s">
        <v>397</v>
      </c>
      <c r="C1" s="8" t="s">
        <v>398</v>
      </c>
      <c r="D1" s="8" t="s">
        <v>399</v>
      </c>
      <c r="E1" s="8" t="s">
        <v>400</v>
      </c>
      <c r="F1" s="8" t="s">
        <v>401</v>
      </c>
      <c r="G1" s="8" t="s">
        <v>402</v>
      </c>
    </row>
    <row r="2" customFormat="false" ht="43.5" hidden="false" customHeight="true" outlineLevel="0" collapsed="false">
      <c r="A2" s="21" t="s">
        <v>403</v>
      </c>
      <c r="B2" s="6" t="s">
        <v>404</v>
      </c>
      <c r="C2" s="6" t="s">
        <v>405</v>
      </c>
      <c r="D2" s="6" t="s">
        <v>199</v>
      </c>
      <c r="E2" s="6" t="s">
        <v>406</v>
      </c>
      <c r="F2" s="19"/>
      <c r="G2" s="22"/>
    </row>
    <row r="3" customFormat="false" ht="43.5" hidden="false" customHeight="true" outlineLevel="0" collapsed="false">
      <c r="A3" s="21" t="s">
        <v>407</v>
      </c>
      <c r="B3" s="6" t="s">
        <v>408</v>
      </c>
      <c r="C3" s="6" t="s">
        <v>409</v>
      </c>
      <c r="D3" s="6" t="s">
        <v>410</v>
      </c>
      <c r="E3" s="6" t="s">
        <v>411</v>
      </c>
      <c r="F3" s="19"/>
      <c r="G3" s="22"/>
    </row>
    <row r="4" customFormat="false" ht="43.5" hidden="false" customHeight="true" outlineLevel="0" collapsed="false">
      <c r="A4" s="21" t="s">
        <v>412</v>
      </c>
      <c r="B4" s="6" t="s">
        <v>413</v>
      </c>
      <c r="C4" s="6" t="s">
        <v>414</v>
      </c>
      <c r="D4" s="6" t="s">
        <v>415</v>
      </c>
      <c r="E4" s="6" t="s">
        <v>297</v>
      </c>
      <c r="F4" s="19"/>
      <c r="G4" s="22"/>
    </row>
    <row r="5" customFormat="false" ht="43.5" hidden="false" customHeight="true" outlineLevel="0" collapsed="false">
      <c r="A5" s="21" t="s">
        <v>416</v>
      </c>
      <c r="B5" s="6" t="s">
        <v>417</v>
      </c>
      <c r="C5" s="6" t="s">
        <v>418</v>
      </c>
      <c r="D5" s="6" t="s">
        <v>419</v>
      </c>
      <c r="E5" s="6" t="s">
        <v>420</v>
      </c>
      <c r="F5" s="19"/>
      <c r="G5" s="22"/>
    </row>
    <row r="6" customFormat="false" ht="43.5" hidden="false" customHeight="true" outlineLevel="0" collapsed="false">
      <c r="A6" s="21" t="s">
        <v>421</v>
      </c>
      <c r="B6" s="6" t="s">
        <v>422</v>
      </c>
      <c r="C6" s="6" t="s">
        <v>423</v>
      </c>
      <c r="D6" s="6" t="s">
        <v>424</v>
      </c>
      <c r="E6" s="6" t="s">
        <v>297</v>
      </c>
      <c r="F6" s="19"/>
      <c r="G6" s="22"/>
    </row>
    <row r="7" customFormat="false" ht="43.5" hidden="false" customHeight="true" outlineLevel="0" collapsed="false">
      <c r="A7" s="21" t="s">
        <v>425</v>
      </c>
      <c r="B7" s="6" t="s">
        <v>426</v>
      </c>
      <c r="C7" s="6" t="s">
        <v>427</v>
      </c>
      <c r="D7" s="6" t="s">
        <v>428</v>
      </c>
      <c r="E7" s="6" t="s">
        <v>429</v>
      </c>
      <c r="F7" s="19"/>
      <c r="G7" s="22"/>
    </row>
    <row r="8" customFormat="false" ht="43.5" hidden="false" customHeight="true" outlineLevel="0" collapsed="false">
      <c r="A8" s="21" t="s">
        <v>430</v>
      </c>
      <c r="B8" s="6" t="s">
        <v>431</v>
      </c>
      <c r="C8" s="6" t="s">
        <v>432</v>
      </c>
      <c r="D8" s="6" t="s">
        <v>433</v>
      </c>
      <c r="E8" s="6" t="s">
        <v>429</v>
      </c>
      <c r="F8" s="19"/>
      <c r="G8" s="22"/>
    </row>
    <row r="9" customFormat="false" ht="43.5" hidden="false" customHeight="true" outlineLevel="0" collapsed="false">
      <c r="A9" s="21" t="s">
        <v>434</v>
      </c>
      <c r="B9" s="6" t="s">
        <v>435</v>
      </c>
      <c r="C9" s="6" t="s">
        <v>436</v>
      </c>
      <c r="D9" s="6" t="s">
        <v>437</v>
      </c>
      <c r="E9" s="6" t="s">
        <v>297</v>
      </c>
      <c r="F9" s="19"/>
      <c r="G9" s="22"/>
    </row>
    <row r="10" customFormat="false" ht="43.5" hidden="false" customHeight="true" outlineLevel="0" collapsed="false">
      <c r="A10" s="21" t="s">
        <v>438</v>
      </c>
      <c r="B10" s="6" t="s">
        <v>439</v>
      </c>
      <c r="C10" s="6" t="s">
        <v>440</v>
      </c>
      <c r="D10" s="6" t="s">
        <v>269</v>
      </c>
      <c r="E10" s="6" t="s">
        <v>441</v>
      </c>
      <c r="F10" s="19"/>
      <c r="G10" s="22"/>
    </row>
    <row r="11" customFormat="false" ht="43.5" hidden="false" customHeight="true" outlineLevel="0" collapsed="false">
      <c r="A11" s="21" t="s">
        <v>442</v>
      </c>
      <c r="B11" s="6" t="s">
        <v>443</v>
      </c>
      <c r="C11" s="6" t="s">
        <v>444</v>
      </c>
      <c r="D11" s="6" t="s">
        <v>331</v>
      </c>
      <c r="E11" s="6" t="s">
        <v>445</v>
      </c>
      <c r="F11" s="19"/>
      <c r="G11" s="22"/>
    </row>
    <row r="12" customFormat="false" ht="43.5" hidden="false" customHeight="true" outlineLevel="0" collapsed="false">
      <c r="A12" s="21" t="s">
        <v>446</v>
      </c>
      <c r="B12" s="6" t="s">
        <v>447</v>
      </c>
      <c r="C12" s="6" t="s">
        <v>448</v>
      </c>
      <c r="D12" s="6" t="s">
        <v>311</v>
      </c>
      <c r="E12" s="6" t="s">
        <v>449</v>
      </c>
      <c r="F12" s="19"/>
      <c r="G12" s="22"/>
    </row>
    <row r="13" customFormat="false" ht="43.5" hidden="false" customHeight="true" outlineLevel="0" collapsed="false">
      <c r="A13" s="21" t="s">
        <v>450</v>
      </c>
      <c r="B13" s="6" t="s">
        <v>451</v>
      </c>
      <c r="C13" s="6" t="s">
        <v>452</v>
      </c>
      <c r="D13" s="6" t="s">
        <v>453</v>
      </c>
      <c r="E13" s="6" t="s">
        <v>342</v>
      </c>
      <c r="F13" s="19"/>
      <c r="G13" s="22"/>
    </row>
    <row r="14" customFormat="false" ht="43.5" hidden="false" customHeight="true" outlineLevel="0" collapsed="false">
      <c r="A14" s="21" t="s">
        <v>454</v>
      </c>
      <c r="B14" s="6" t="s">
        <v>455</v>
      </c>
      <c r="C14" s="6" t="s">
        <v>456</v>
      </c>
      <c r="D14" s="6" t="s">
        <v>457</v>
      </c>
      <c r="E14" s="6" t="s">
        <v>458</v>
      </c>
      <c r="F14" s="19"/>
      <c r="G14" s="22"/>
    </row>
    <row r="15" customFormat="false" ht="43.5" hidden="false" customHeight="true" outlineLevel="0" collapsed="false">
      <c r="A15" s="21" t="s">
        <v>459</v>
      </c>
      <c r="B15" s="6" t="s">
        <v>460</v>
      </c>
      <c r="C15" s="6" t="s">
        <v>461</v>
      </c>
      <c r="D15" s="6" t="s">
        <v>60</v>
      </c>
      <c r="E15" s="6" t="s">
        <v>386</v>
      </c>
      <c r="F15" s="19"/>
      <c r="G15" s="22"/>
    </row>
    <row r="16" customFormat="false" ht="43.5" hidden="false" customHeight="true" outlineLevel="0" collapsed="false">
      <c r="A16" s="21" t="s">
        <v>462</v>
      </c>
      <c r="B16" s="6" t="s">
        <v>463</v>
      </c>
      <c r="C16" s="6" t="s">
        <v>464</v>
      </c>
      <c r="D16" s="6" t="s">
        <v>465</v>
      </c>
      <c r="E16" s="6" t="s">
        <v>466</v>
      </c>
      <c r="F16" s="19"/>
      <c r="G16" s="22"/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2026-10-26T15:20:05Z</dcterms:created>
  <dc:creator>openpyxl</dc:creator>
  <dc:description/>
  <dc:language>en-US</dc:language>
  <cp:lastModifiedBy/>
  <dcterms:modified xsi:type="dcterms:W3CDTF">2026-10-26T15:20:05Z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